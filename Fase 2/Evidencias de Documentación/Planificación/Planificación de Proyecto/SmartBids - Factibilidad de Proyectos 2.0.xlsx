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s Factibilidad" sheetId="1" r:id="rId4"/>
    <sheet state="visible" name="Matriz de Factibilidad" sheetId="2" r:id="rId5"/>
    <sheet state="visible" name="Diccionarios de Datos" sheetId="3" r:id="rId6"/>
  </sheets>
  <definedNames>
    <definedName name="Niveles_Importancia">'Diccionarios de Datos'!$A$11:$A$13</definedName>
  </definedNames>
  <calcPr/>
  <extLst>
    <ext uri="GoogleSheetsCustomDataVersion2">
      <go:sheetsCustomData xmlns:go="http://customooxmlschemas.google.com/" r:id="rId7" roundtripDataChecksum="Ida6zUvVDhvTNXuCjOzgIZRbJUy5ssqiS6LsSgLF6M8="/>
    </ext>
  </extLst>
</workbook>
</file>

<file path=xl/sharedStrings.xml><?xml version="1.0" encoding="utf-8"?>
<sst xmlns="http://schemas.openxmlformats.org/spreadsheetml/2006/main" count="378" uniqueCount="132">
  <si>
    <t>Tabla de Criterios de Factibilidad</t>
  </si>
  <si>
    <t>CRITERIOS DE FACTIBILIDAD</t>
  </si>
  <si>
    <t>Significancia</t>
  </si>
  <si>
    <t>Relevancias</t>
  </si>
  <si>
    <t>Relevancia</t>
  </si>
  <si>
    <t>Asignar entre : Relevante, Neutral, Marginal</t>
  </si>
  <si>
    <t>Bajo</t>
  </si>
  <si>
    <t>Marginal</t>
  </si>
  <si>
    <t>Criterio</t>
  </si>
  <si>
    <t>Pregunta que se aplicar a las inciativas para decidir su factibilidad</t>
  </si>
  <si>
    <t>Medio</t>
  </si>
  <si>
    <t>Neutral</t>
  </si>
  <si>
    <t>CRITERIOS DE SELECCION</t>
  </si>
  <si>
    <t>Respecto del criterio, señalar cuando aplicar una relavancia BAJA</t>
  </si>
  <si>
    <t>Alto</t>
  </si>
  <si>
    <t>Relevante</t>
  </si>
  <si>
    <t>#</t>
  </si>
  <si>
    <t>Respecto del criterio, señalar cuando aplicar una relavancia MEDIA</t>
  </si>
  <si>
    <t>Respecto del criterio, señalar cuando aplicar una relavancia ALTA</t>
  </si>
  <si>
    <t>Tipo Factibilidad</t>
  </si>
  <si>
    <t>MATRIZ DE FACTIBILIDAD</t>
  </si>
  <si>
    <t>Inciativa</t>
  </si>
  <si>
    <t>Asignar nombre a la Iniciativa (nombre corto)</t>
  </si>
  <si>
    <t>Descripción</t>
  </si>
  <si>
    <t>Breve descripción que caracterice la iniciativa ( 3 a 5 lineas)</t>
  </si>
  <si>
    <t>Score</t>
  </si>
  <si>
    <t>Puntacion alcanzada (se calcula automatico) NO MODIFICAR</t>
  </si>
  <si>
    <t>Pregunta 1</t>
  </si>
  <si>
    <t>se obtiene de la Tabla Criterios de Factibilidad</t>
  </si>
  <si>
    <t>CRITERIOS DE TIPO FACTIBILIDAD</t>
  </si>
  <si>
    <t>Tipo</t>
  </si>
  <si>
    <t>Técnica</t>
  </si>
  <si>
    <t>Normativa/Legal</t>
  </si>
  <si>
    <t>INICIATIVAS</t>
  </si>
  <si>
    <t>Organizacional</t>
  </si>
  <si>
    <t>Financiera</t>
  </si>
  <si>
    <t>Operacional</t>
  </si>
  <si>
    <t>Temporal</t>
  </si>
  <si>
    <t>Mercado</t>
  </si>
  <si>
    <t>Columnas S a AD utilizadas para calcular el score</t>
  </si>
  <si>
    <t>¿Disponemos de las herramientas tecnicas para desarrollarlo?</t>
  </si>
  <si>
    <t>No disponemos de las herraamientas principales</t>
  </si>
  <si>
    <t>Disponemos de la mayoria, pero hay una que es esencial y no la tenemos</t>
  </si>
  <si>
    <t>Disponemos de las herramientas principales para el proyecto</t>
  </si>
  <si>
    <t>¿La complejidad técnica es abordable con las tecnologías disponibles?</t>
  </si>
  <si>
    <t>La complejidad supera significativamente las capacidades tecnológicas disponibles.</t>
  </si>
  <si>
    <t>La complejidad es moderada y requiere investigación o adaptación considerable.</t>
  </si>
  <si>
    <t>La complejidad es completamente abordable con las tecnologías y conocimientos disponibles.</t>
  </si>
  <si>
    <t>¿Existen herramientas, frameworks o APIs que faciliten el desarrollo?</t>
  </si>
  <si>
    <t>No existen o son muy limitadas.</t>
  </si>
  <si>
    <t>Existen algunas alternativas, pero requieren trabajo adicional importante.</t>
  </si>
  <si>
    <t>Existen múltiples herramientas maduras que aceleran significativamente el desarrollo.</t>
  </si>
  <si>
    <t>¿El acceso y uso de los datos es permitido?</t>
  </si>
  <si>
    <t>Existen restricciones legales importantes o incertidumbre normativa.</t>
  </si>
  <si>
    <t>El acceso es posible, pero requiere autorizaciones o cumplimiento específico.</t>
  </si>
  <si>
    <t>El acceso y uso de los datos está permitido y claramente regulado.</t>
  </si>
  <si>
    <t>¿El equipo tiene la capacidad de organización y coordinación para desarrollar el proyecto?</t>
  </si>
  <si>
    <t>El equipo presenta dificultades importantes de coordinación y gestión.</t>
  </si>
  <si>
    <t>El equipo puede coordinarse, aunque con algunas limitaciones.</t>
  </si>
  <si>
    <t>El equipo posee una estructura organizada y coordinación efectiva.</t>
  </si>
  <si>
    <t>¿Se cuenta con apoyo suficiente (docente guía, recursos, documentación)?</t>
  </si>
  <si>
    <t>El apoyo y los recursos disponibles son insuficientes.</t>
  </si>
  <si>
    <t>Existe apoyo parcial o documentación limitada.</t>
  </si>
  <si>
    <t>Se dispone de apoyo constante, recursos adecuados y documentación suficiente.</t>
  </si>
  <si>
    <t>¿Los costos de herramientas (ej: servicios de IA, hosting) son accesibles?</t>
  </si>
  <si>
    <t>Los costos exceden el presupuesto disponible.</t>
  </si>
  <si>
    <t>Los costos son manejables, pero representan una limitación importante.</t>
  </si>
  <si>
    <t>Los costos son completamente accesibles y sostenibles.</t>
  </si>
  <si>
    <t>¿La solución es usable y aporta valor real al usuario final (PYMES)?</t>
  </si>
  <si>
    <t>La utilidad o facilidad de uso es baja.</t>
  </si>
  <si>
    <t>Aporta valor, pero con limitaciones de uso o adopción.</t>
  </si>
  <si>
    <t>Es fácil de utilizar y resuelve una necesidad importante del usuario.</t>
  </si>
  <si>
    <t>¿El proyecto puede desarrollarse dentro del tiempo disponible?</t>
  </si>
  <si>
    <t>El tiempo disponible es claramente insuficiente.</t>
  </si>
  <si>
    <t>El tiempo es ajustado y requiere una planificación estricta.</t>
  </si>
  <si>
    <t>El tiempo disponible es suficiente para completar el proyecto.</t>
  </si>
  <si>
    <t>¿El equipo puede adquirir los conocimientos necesarios dentro del tiempo disponible?</t>
  </si>
  <si>
    <t>El aprendizaje requerido supera el tiempo disponible.</t>
  </si>
  <si>
    <t>Es posible adquirir los conocimientos, pero con esfuerzo considerable.</t>
  </si>
  <si>
    <t>Los conocimientos pueden adquirirse sin dificultad dentro del plazo.</t>
  </si>
  <si>
    <t>¿Existe una necesidad real del sistema?</t>
  </si>
  <si>
    <t>La necesidad es baja o poco demostrable.</t>
  </si>
  <si>
    <t>Existe una necesidad moderada en un segmento específico.</t>
  </si>
  <si>
    <t>Existe una necesidad clara y ampliamente identificada.</t>
  </si>
  <si>
    <t>¿Que tan independente de terceros? (Servicios Web, API's, Cloud, Servidores en la nube)</t>
  </si>
  <si>
    <t>Alta dependencia de múltiples servicios externos críticos.</t>
  </si>
  <si>
    <t>Dependencia moderada de algunos servicios externos.</t>
  </si>
  <si>
    <t>Baja dependencia de terceros o posibilidad de reemplazo sencilla.</t>
  </si>
  <si>
    <t>¿Qué tan factible será el escalamiento?</t>
  </si>
  <si>
    <t>El sistema presenta importantes limitaciones de escalabilidad.</t>
  </si>
  <si>
    <t>El sistema puede escalar con modificaciones moderadas.</t>
  </si>
  <si>
    <t>El sistema fue diseñado para crecer de manera eficiente.</t>
  </si>
  <si>
    <t>¿Que tan segura es la iniciativa frente a vulnerabilidades o ataques?</t>
  </si>
  <si>
    <t>Existen riesgos de seguridad importantes sin mitigación adecuada.</t>
  </si>
  <si>
    <t>Existen medidas básicas de seguridad, pero con áreas por fortalecer.</t>
  </si>
  <si>
    <t>Se consideran buenas prácticas y mecanismos robustos de seguridad.</t>
  </si>
  <si>
    <t>¿El Proyecto tiene compatibilidad con distintos dispositivos (web, móvil, escritorio)?</t>
  </si>
  <si>
    <t>Funciona únicamente en una plataforma específica.</t>
  </si>
  <si>
    <t>Compatible con algunas plataformas mediante adaptaciones.</t>
  </si>
  <si>
    <t>Compatible con múltiples dispositivos y plataformas.</t>
  </si>
  <si>
    <t>El nivel de procesamiento requerido (ej: análisis de documentos, uso de IA) es manejable en términos de rendimiento y tiempos de respuesta?</t>
  </si>
  <si>
    <t>Los recursos requeridos exceden la capacidad disponible.</t>
  </si>
  <si>
    <t>El rendimiento es aceptable, aunque con posibles limitaciones.</t>
  </si>
  <si>
    <t>El procesamiento es eficiente y mantiene tiempos de respuesta adecuados.</t>
  </si>
  <si>
    <t>¿La solución puede entregar resultados confiables para el usuario?</t>
  </si>
  <si>
    <t>Los resultados presentan errores frecuentes o baja precisión.</t>
  </si>
  <si>
    <t>Los resultados son generalmente correctos, pero requieren validación ocasional.</t>
  </si>
  <si>
    <t>Los resultados son consistentes, precisos y confiables para el usuario.</t>
  </si>
  <si>
    <t>SaaS básico</t>
  </si>
  <si>
    <t>Plataforma SaaS que permite a las PYMES filtrar y visualizar licitaciones desde la API de Mercado Público según rubro o palabras clave.</t>
  </si>
  <si>
    <t>SaaS + seguimiento de licitaciones</t>
  </si>
  <si>
    <t>Extensión del SaaS que incorpora monitoreo de cambios en las licitaciones, incluyendo actualizaciones, preguntas y respuestas.</t>
  </si>
  <si>
    <t>SaaS + dashboard de visualización</t>
  </si>
  <si>
    <t>Incorporación de un dashboard con métricas e historial de licitaciones para apoyar la toma de decisiones.</t>
  </si>
  <si>
    <t>SaaS + IA para análisis de documentos</t>
  </si>
  <si>
    <t>Integración de servicios de IA (NLP) para resumir bases de licitación y extraer requisitos clave automáticamente.</t>
  </si>
  <si>
    <t>SaaS + seguimiento + dashboard</t>
  </si>
  <si>
    <t>Solución que combina filtrado de licitaciones, seguimiento de cambios y visualización de datos en un mismo sistema.</t>
  </si>
  <si>
    <t>SaaS + IA + seguimiento</t>
  </si>
  <si>
    <t>Plataforma que integra análisis automático de documentos con IA y monitoreo continuo de licitaciones.</t>
  </si>
  <si>
    <t>SaaS + IA + dashboard</t>
  </si>
  <si>
    <t>Solución que combina análisis inteligente de documentos con visualización de datos para apoyar decisiones.</t>
  </si>
  <si>
    <t>SaaS + dashboard + ML predictivo</t>
  </si>
  <si>
    <t>Plataforma que combina el filtrado de licitaciones con un dashboard de visualización e incorpora modelos de Machine Learning para predecir oportunidades y apoyar la toma de decisiones.</t>
  </si>
  <si>
    <t>SaaS + seguimiento + ML predictivo</t>
  </si>
  <si>
    <t>Solución que integra el filtrado de licitaciones con seguimiento de procesos en tiempo real y modelos de Machine Learning para identificar oportunidades más convenientes de postulación.</t>
  </si>
  <si>
    <t>SaaS + dashboard + seguimiento + ML predictivo</t>
  </si>
  <si>
    <t>Plataforma que combina filtrado de licitaciones, monitoreo de cambios y visualización de datos, incorporando además modelos predictivos para mejorar la selección de oportunidades.</t>
  </si>
  <si>
    <t>SaaS + IA + dashboard + seguimiento</t>
  </si>
  <si>
    <t>Plataforma completa que integra filtrado, análisis con IA, seguimiento y dashboard en un solo sistema.</t>
  </si>
  <si>
    <t>SaaS + IA + dashboard + seguimiento + ML predictivo</t>
  </si>
  <si>
    <t>Versión avanzada que añade modelos de Machine Learning para recomendar y predecir oportunidades de licitación.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</si>
</sst>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9.0"/>
      <color theme="1"/>
      <name val="Arial"/>
    </font>
    <font>
      <b/>
      <sz val="15.0"/>
      <color theme="1"/>
      <name val="Arial"/>
    </font>
    <font>
      <b/>
      <sz val="24.0"/>
      <color theme="1"/>
      <name val="Arial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b/>
      <color rgb="FFFFFFFF"/>
      <name val="Arial"/>
    </font>
    <font>
      <b/>
      <sz val="14.0"/>
      <color rgb="FF000000"/>
      <name val="Arial"/>
    </font>
    <font>
      <b/>
      <sz val="13.0"/>
      <color theme="1"/>
      <name val="Arial"/>
    </font>
    <font>
      <b/>
      <sz val="9.0"/>
      <color rgb="FF000000"/>
      <name val="Arial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3" fontId="8" numFmtId="49" xfId="0" applyAlignment="1" applyFill="1" applyFont="1" applyNumberForma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3" fontId="8" numFmtId="49" xfId="0" applyAlignment="1" applyFill="1" applyFont="1" applyNumberFormat="1">
      <alignment horizontal="center" shrinkToFit="0" vertical="center" wrapText="1"/>
    </xf>
    <xf borderId="0" fillId="3" fontId="10" numFmtId="49" xfId="0" applyAlignment="1" applyFill="1" applyFont="1" applyNumberForma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8" fontId="1" numFmtId="0" xfId="0" applyAlignment="1" applyFill="1" applyFont="1">
      <alignment shrinkToFit="0" wrapText="1"/>
    </xf>
    <xf borderId="0" fillId="8" fontId="6" numFmtId="0" xfId="0" applyAlignment="1" applyFill="1" applyFont="1">
      <alignment shrinkToFit="0" wrapText="1"/>
    </xf>
    <xf borderId="0" fillId="8" fontId="11" numFmtId="0" xfId="0" applyAlignment="1" applyFill="1" applyFont="1">
      <alignment horizontal="center" shrinkToFit="0" vertical="center" wrapText="1"/>
    </xf>
    <xf borderId="0" fillId="8" fontId="6" numFmtId="0" xfId="0" applyFill="1" applyFont="1"/>
    <xf borderId="0" fillId="0" fontId="6" numFmtId="0" xfId="0" applyFont="1"/>
    <xf borderId="0" fillId="8" fontId="6" numFmtId="0" xfId="0" applyAlignment="1" applyFill="1" applyFont="1">
      <alignment readingOrder="0"/>
    </xf>
    <xf borderId="0" fillId="0" fontId="1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25"/>
    <col customWidth="1" min="2" max="2" width="21.25"/>
    <col customWidth="1" min="3" max="3" width="15.38"/>
    <col customWidth="1" min="4" max="4" width="49.0"/>
    <col customWidth="1" min="5" max="7" width="35.63"/>
  </cols>
  <sheetData>
    <row r="1" ht="15.75" customHeight="1">
      <c r="A1" s="3" t="s">
        <v>0</v>
      </c>
      <c r="F1" s="5"/>
      <c r="G1" s="5"/>
    </row>
    <row r="2" ht="15.75" customHeight="1">
      <c r="F2" s="8"/>
      <c r="G2" s="10"/>
    </row>
    <row r="3" ht="34.5" customHeight="1">
      <c r="A3" s="12" t="s">
        <v>16</v>
      </c>
      <c r="B3" s="13" t="s">
        <v>19</v>
      </c>
      <c r="C3" s="13" t="s">
        <v>4</v>
      </c>
      <c r="D3" s="14" t="s">
        <v>8</v>
      </c>
      <c r="E3" s="18" t="str">
        <f>'Diccionarios de Datos'!E2</f>
        <v>Bajo</v>
      </c>
      <c r="F3" s="19" t="str">
        <f>'Diccionarios de Datos'!E3</f>
        <v>Medio</v>
      </c>
      <c r="G3" s="20" t="str">
        <f>'Diccionarios de Datos'!E4</f>
        <v>Alto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15.75" customHeight="1">
      <c r="A4" s="22">
        <v>1.0</v>
      </c>
      <c r="B4" s="23" t="s">
        <v>34</v>
      </c>
      <c r="C4" s="24" t="s">
        <v>15</v>
      </c>
      <c r="D4" s="25" t="s">
        <v>40</v>
      </c>
      <c r="E4" s="26" t="s">
        <v>41</v>
      </c>
      <c r="F4" s="26" t="s">
        <v>42</v>
      </c>
      <c r="G4" s="26" t="s">
        <v>43</v>
      </c>
    </row>
    <row r="5" ht="15.75" customHeight="1">
      <c r="A5" s="27">
        <v>2.0</v>
      </c>
      <c r="B5" s="28" t="s">
        <v>31</v>
      </c>
      <c r="C5" s="29" t="s">
        <v>11</v>
      </c>
      <c r="D5" s="30" t="s">
        <v>44</v>
      </c>
      <c r="E5" s="31" t="s">
        <v>45</v>
      </c>
      <c r="F5" s="31" t="s">
        <v>46</v>
      </c>
      <c r="G5" s="31" t="s">
        <v>47</v>
      </c>
    </row>
    <row r="6" ht="15.75" customHeight="1">
      <c r="A6" s="27">
        <v>3.0</v>
      </c>
      <c r="B6" s="28" t="s">
        <v>31</v>
      </c>
      <c r="C6" s="29" t="s">
        <v>15</v>
      </c>
      <c r="D6" s="30" t="s">
        <v>48</v>
      </c>
      <c r="E6" s="31" t="s">
        <v>49</v>
      </c>
      <c r="F6" s="31" t="s">
        <v>50</v>
      </c>
      <c r="G6" s="31" t="s">
        <v>51</v>
      </c>
    </row>
    <row r="7" ht="15.75" customHeight="1">
      <c r="A7" s="27">
        <v>4.0</v>
      </c>
      <c r="B7" s="28" t="s">
        <v>32</v>
      </c>
      <c r="C7" s="29" t="s">
        <v>15</v>
      </c>
      <c r="D7" s="30" t="s">
        <v>52</v>
      </c>
      <c r="E7" s="31" t="s">
        <v>53</v>
      </c>
      <c r="F7" s="31" t="s">
        <v>54</v>
      </c>
      <c r="G7" s="31" t="s">
        <v>55</v>
      </c>
    </row>
    <row r="8" ht="15.75" customHeight="1">
      <c r="A8" s="27">
        <v>5.0</v>
      </c>
      <c r="B8" s="28" t="s">
        <v>34</v>
      </c>
      <c r="C8" s="29" t="s">
        <v>15</v>
      </c>
      <c r="D8" s="30" t="s">
        <v>56</v>
      </c>
      <c r="E8" s="31" t="s">
        <v>57</v>
      </c>
      <c r="F8" s="31" t="s">
        <v>58</v>
      </c>
      <c r="G8" s="31" t="s">
        <v>59</v>
      </c>
    </row>
    <row r="9" ht="15.75" customHeight="1">
      <c r="A9" s="27">
        <v>6.0</v>
      </c>
      <c r="B9" s="28" t="s">
        <v>34</v>
      </c>
      <c r="C9" s="29" t="s">
        <v>15</v>
      </c>
      <c r="D9" s="30" t="s">
        <v>60</v>
      </c>
      <c r="E9" s="31" t="s">
        <v>61</v>
      </c>
      <c r="F9" s="31" t="s">
        <v>62</v>
      </c>
      <c r="G9" s="31" t="s">
        <v>63</v>
      </c>
    </row>
    <row r="10" ht="15.75" customHeight="1">
      <c r="A10" s="27">
        <v>7.0</v>
      </c>
      <c r="B10" s="28" t="s">
        <v>35</v>
      </c>
      <c r="C10" s="29" t="s">
        <v>15</v>
      </c>
      <c r="D10" s="30" t="s">
        <v>64</v>
      </c>
      <c r="E10" s="31" t="s">
        <v>65</v>
      </c>
      <c r="F10" s="31" t="s">
        <v>66</v>
      </c>
      <c r="G10" s="31" t="s">
        <v>67</v>
      </c>
    </row>
    <row r="11" ht="15.75" customHeight="1">
      <c r="A11" s="27">
        <v>8.0</v>
      </c>
      <c r="B11" s="28" t="s">
        <v>36</v>
      </c>
      <c r="C11" s="29" t="s">
        <v>15</v>
      </c>
      <c r="D11" s="30" t="s">
        <v>68</v>
      </c>
      <c r="E11" s="31" t="s">
        <v>69</v>
      </c>
      <c r="F11" s="31" t="s">
        <v>70</v>
      </c>
      <c r="G11" s="31" t="s">
        <v>71</v>
      </c>
    </row>
    <row r="12" ht="15.75" customHeight="1">
      <c r="A12" s="27">
        <v>9.0</v>
      </c>
      <c r="B12" s="28" t="s">
        <v>31</v>
      </c>
      <c r="C12" s="29" t="s">
        <v>11</v>
      </c>
      <c r="D12" s="30" t="s">
        <v>72</v>
      </c>
      <c r="E12" s="31" t="s">
        <v>73</v>
      </c>
      <c r="F12" s="31" t="s">
        <v>74</v>
      </c>
      <c r="G12" s="31" t="s">
        <v>75</v>
      </c>
    </row>
    <row r="13" ht="15.75" customHeight="1">
      <c r="A13" s="27">
        <v>10.0</v>
      </c>
      <c r="B13" s="28" t="s">
        <v>34</v>
      </c>
      <c r="C13" s="29" t="s">
        <v>11</v>
      </c>
      <c r="D13" s="30" t="s">
        <v>76</v>
      </c>
      <c r="E13" s="31" t="s">
        <v>77</v>
      </c>
      <c r="F13" s="31" t="s">
        <v>78</v>
      </c>
      <c r="G13" s="31" t="s">
        <v>79</v>
      </c>
    </row>
    <row r="14" ht="15.75" customHeight="1">
      <c r="A14" s="27">
        <v>11.0</v>
      </c>
      <c r="B14" s="28" t="s">
        <v>38</v>
      </c>
      <c r="C14" s="29" t="s">
        <v>15</v>
      </c>
      <c r="D14" s="30" t="s">
        <v>80</v>
      </c>
      <c r="E14" s="31" t="s">
        <v>81</v>
      </c>
      <c r="F14" s="31" t="s">
        <v>82</v>
      </c>
      <c r="G14" s="31" t="s">
        <v>83</v>
      </c>
    </row>
    <row r="15" ht="15.75" customHeight="1">
      <c r="A15" s="32">
        <v>12.0</v>
      </c>
      <c r="B15" s="33" t="s">
        <v>31</v>
      </c>
      <c r="C15" s="29" t="s">
        <v>15</v>
      </c>
      <c r="D15" s="34" t="s">
        <v>84</v>
      </c>
      <c r="E15" s="31" t="s">
        <v>85</v>
      </c>
      <c r="F15" s="31" t="s">
        <v>86</v>
      </c>
      <c r="G15" s="31" t="s">
        <v>87</v>
      </c>
    </row>
    <row r="16" ht="15.75" customHeight="1">
      <c r="A16" s="27">
        <v>13.0</v>
      </c>
      <c r="B16" s="28" t="s">
        <v>31</v>
      </c>
      <c r="C16" s="29" t="s">
        <v>11</v>
      </c>
      <c r="D16" s="30" t="s">
        <v>88</v>
      </c>
      <c r="E16" s="31" t="s">
        <v>89</v>
      </c>
      <c r="F16" s="31" t="s">
        <v>90</v>
      </c>
      <c r="G16" s="31" t="s">
        <v>91</v>
      </c>
    </row>
    <row r="17" ht="15.75" customHeight="1">
      <c r="A17" s="27">
        <v>14.0</v>
      </c>
      <c r="B17" s="28" t="s">
        <v>31</v>
      </c>
      <c r="C17" s="29" t="s">
        <v>7</v>
      </c>
      <c r="D17" s="30" t="s">
        <v>92</v>
      </c>
      <c r="E17" s="31" t="s">
        <v>93</v>
      </c>
      <c r="F17" s="31" t="s">
        <v>94</v>
      </c>
      <c r="G17" s="31" t="s">
        <v>95</v>
      </c>
    </row>
    <row r="18" ht="15.75" customHeight="1">
      <c r="A18" s="32">
        <v>15.0</v>
      </c>
      <c r="B18" s="33" t="s">
        <v>31</v>
      </c>
      <c r="C18" s="29" t="s">
        <v>7</v>
      </c>
      <c r="D18" s="34" t="s">
        <v>96</v>
      </c>
      <c r="E18" s="31" t="s">
        <v>97</v>
      </c>
      <c r="F18" s="31" t="s">
        <v>98</v>
      </c>
      <c r="G18" s="31" t="s">
        <v>99</v>
      </c>
    </row>
    <row r="19" ht="15.75" customHeight="1">
      <c r="A19" s="27">
        <v>16.0</v>
      </c>
      <c r="B19" s="28" t="s">
        <v>31</v>
      </c>
      <c r="C19" s="29" t="s">
        <v>15</v>
      </c>
      <c r="D19" s="30" t="s">
        <v>100</v>
      </c>
      <c r="E19" s="31" t="s">
        <v>101</v>
      </c>
      <c r="F19" s="31" t="s">
        <v>102</v>
      </c>
      <c r="G19" s="31" t="s">
        <v>103</v>
      </c>
    </row>
    <row r="20" ht="15.75" customHeight="1">
      <c r="A20" s="32">
        <v>17.0</v>
      </c>
      <c r="B20" s="33" t="s">
        <v>31</v>
      </c>
      <c r="C20" s="29" t="s">
        <v>15</v>
      </c>
      <c r="D20" s="34" t="s">
        <v>104</v>
      </c>
      <c r="E20" s="31" t="s">
        <v>105</v>
      </c>
      <c r="F20" s="31" t="s">
        <v>106</v>
      </c>
      <c r="G20" s="31" t="s">
        <v>107</v>
      </c>
    </row>
    <row r="21" ht="15.75" customHeight="1">
      <c r="A21" s="35"/>
      <c r="B21" s="21"/>
      <c r="C21" s="36"/>
      <c r="D21" s="37"/>
      <c r="E21" s="5"/>
      <c r="F21" s="5"/>
      <c r="G21" s="5"/>
    </row>
    <row r="22" ht="15.75" customHeight="1">
      <c r="A22" s="35"/>
      <c r="B22" s="21"/>
      <c r="C22" s="36"/>
      <c r="D22" s="37"/>
      <c r="E22" s="5"/>
      <c r="F22" s="5"/>
      <c r="G22" s="5"/>
    </row>
    <row r="23" ht="15.75" customHeight="1">
      <c r="A23" s="35"/>
      <c r="B23" s="21"/>
      <c r="C23" s="36"/>
      <c r="D23" s="37"/>
      <c r="E23" s="5"/>
      <c r="F23" s="5"/>
      <c r="G23" s="5"/>
    </row>
    <row r="24" ht="15.75" customHeight="1">
      <c r="A24" s="35"/>
      <c r="B24" s="21"/>
      <c r="C24" s="36"/>
      <c r="D24" s="38"/>
      <c r="E24" s="39"/>
      <c r="F24" s="39"/>
      <c r="G24" s="39"/>
    </row>
    <row r="25" ht="15.75" customHeight="1">
      <c r="A25" s="35"/>
      <c r="B25" s="21"/>
      <c r="C25" s="36"/>
      <c r="D25" s="38"/>
      <c r="E25" s="39"/>
      <c r="F25" s="39"/>
      <c r="G25" s="39"/>
    </row>
    <row r="26" ht="15.75" customHeight="1">
      <c r="A26" s="35"/>
      <c r="B26" s="21"/>
      <c r="C26" s="36"/>
      <c r="D26" s="38"/>
      <c r="E26" s="39"/>
      <c r="F26" s="39"/>
      <c r="G26" s="39"/>
    </row>
    <row r="27" ht="15.75" customHeight="1">
      <c r="A27" s="35"/>
      <c r="B27" s="21"/>
      <c r="C27" s="36"/>
      <c r="D27" s="38"/>
      <c r="E27" s="39"/>
      <c r="F27" s="39"/>
      <c r="G27" s="39"/>
    </row>
    <row r="28" ht="15.75" customHeight="1">
      <c r="A28" s="35"/>
      <c r="B28" s="21"/>
      <c r="C28" s="36"/>
      <c r="D28" s="38"/>
      <c r="E28" s="39"/>
      <c r="F28" s="39"/>
      <c r="G28" s="39"/>
    </row>
    <row r="29" ht="15.75" customHeight="1">
      <c r="A29" s="35"/>
      <c r="B29" s="21"/>
      <c r="C29" s="36"/>
      <c r="D29" s="38"/>
      <c r="E29" s="39"/>
      <c r="F29" s="39"/>
      <c r="G29" s="39"/>
    </row>
    <row r="30" ht="15.75" customHeight="1">
      <c r="A30" s="35"/>
      <c r="B30" s="21"/>
      <c r="C30" s="36"/>
      <c r="D30" s="38"/>
      <c r="E30" s="39"/>
      <c r="F30" s="39"/>
      <c r="G30" s="39"/>
    </row>
    <row r="31" ht="15.75" customHeight="1">
      <c r="A31" s="35"/>
      <c r="B31" s="21"/>
      <c r="C31" s="36"/>
      <c r="D31" s="38"/>
      <c r="E31" s="39"/>
      <c r="F31" s="39"/>
      <c r="G31" s="39"/>
    </row>
    <row r="32" ht="15.75" customHeight="1">
      <c r="A32" s="35"/>
      <c r="B32" s="21"/>
      <c r="C32" s="36"/>
      <c r="D32" s="38"/>
      <c r="E32" s="39"/>
      <c r="F32" s="39"/>
      <c r="G32" s="39"/>
    </row>
    <row r="33" ht="15.75" customHeight="1">
      <c r="A33" s="35"/>
      <c r="B33" s="21"/>
      <c r="C33" s="36"/>
      <c r="D33" s="38"/>
      <c r="E33" s="39"/>
      <c r="F33" s="39"/>
      <c r="G33" s="39"/>
    </row>
    <row r="34" ht="15.75" customHeight="1">
      <c r="A34" s="35"/>
      <c r="B34" s="21"/>
      <c r="C34" s="36"/>
      <c r="D34" s="38"/>
      <c r="E34" s="39"/>
      <c r="F34" s="39"/>
      <c r="G34" s="39"/>
    </row>
    <row r="35" ht="15.75" customHeight="1">
      <c r="A35" s="35"/>
      <c r="B35" s="21"/>
      <c r="C35" s="36"/>
      <c r="D35" s="38"/>
      <c r="E35" s="39"/>
      <c r="F35" s="39"/>
      <c r="G35" s="39"/>
    </row>
    <row r="36" ht="15.75" customHeight="1">
      <c r="A36" s="35"/>
      <c r="B36" s="21"/>
      <c r="C36" s="36"/>
      <c r="D36" s="38"/>
      <c r="E36" s="39"/>
      <c r="F36" s="39"/>
      <c r="G36" s="39"/>
    </row>
    <row r="37" ht="15.75" customHeight="1">
      <c r="A37" s="35"/>
      <c r="B37" s="21"/>
      <c r="C37" s="36"/>
      <c r="D37" s="38"/>
      <c r="E37" s="39"/>
      <c r="F37" s="39"/>
      <c r="G37" s="39"/>
    </row>
    <row r="38" ht="15.75" customHeight="1">
      <c r="A38" s="35"/>
      <c r="B38" s="21"/>
      <c r="C38" s="36"/>
      <c r="D38" s="38"/>
      <c r="E38" s="39"/>
      <c r="F38" s="39"/>
      <c r="G38" s="39"/>
    </row>
    <row r="39" ht="15.75" customHeight="1">
      <c r="A39" s="35"/>
      <c r="B39" s="21"/>
      <c r="C39" s="36"/>
      <c r="D39" s="38"/>
      <c r="E39" s="39"/>
      <c r="F39" s="39"/>
      <c r="G39" s="39"/>
    </row>
    <row r="40" ht="15.75" customHeight="1">
      <c r="A40" s="35"/>
      <c r="B40" s="21"/>
      <c r="C40" s="36"/>
      <c r="D40" s="38"/>
      <c r="E40" s="39"/>
      <c r="F40" s="39"/>
      <c r="G40" s="39"/>
    </row>
    <row r="41" ht="15.75" customHeight="1">
      <c r="A41" s="35"/>
      <c r="B41" s="21"/>
      <c r="C41" s="36"/>
      <c r="D41" s="37"/>
      <c r="E41" s="5"/>
      <c r="F41" s="5"/>
      <c r="G41" s="5"/>
    </row>
    <row r="42" ht="15.75" customHeight="1">
      <c r="A42" s="35"/>
      <c r="B42" s="21"/>
      <c r="C42" s="36"/>
      <c r="D42" s="37"/>
      <c r="E42" s="5"/>
      <c r="F42" s="5"/>
      <c r="G42" s="5"/>
    </row>
    <row r="43" ht="15.75" customHeight="1">
      <c r="A43" s="35"/>
      <c r="B43" s="21"/>
      <c r="C43" s="36"/>
      <c r="D43" s="37"/>
      <c r="E43" s="5"/>
      <c r="F43" s="5"/>
      <c r="G43" s="5"/>
    </row>
    <row r="44" ht="15.75" customHeight="1">
      <c r="A44" s="35"/>
      <c r="B44" s="21"/>
      <c r="C44" s="36"/>
      <c r="D44" s="37"/>
      <c r="E44" s="5"/>
      <c r="F44" s="5"/>
      <c r="G44" s="5"/>
    </row>
    <row r="45" ht="15.75" customHeight="1">
      <c r="A45" s="35"/>
      <c r="B45" s="21"/>
      <c r="C45" s="36"/>
      <c r="D45" s="37"/>
      <c r="E45" s="5"/>
      <c r="F45" s="5"/>
      <c r="G45" s="5"/>
    </row>
    <row r="46" ht="15.75" customHeight="1">
      <c r="A46" s="35"/>
      <c r="B46" s="21"/>
      <c r="C46" s="36"/>
      <c r="D46" s="37"/>
      <c r="E46" s="5"/>
      <c r="F46" s="5"/>
      <c r="G46" s="5"/>
    </row>
    <row r="47" ht="15.75" customHeight="1">
      <c r="A47" s="35"/>
      <c r="B47" s="21"/>
      <c r="C47" s="36"/>
      <c r="D47" s="37"/>
      <c r="E47" s="5"/>
      <c r="F47" s="5"/>
      <c r="G47" s="5"/>
    </row>
    <row r="48" ht="15.75" customHeight="1">
      <c r="A48" s="35"/>
      <c r="B48" s="21"/>
      <c r="C48" s="36"/>
      <c r="D48" s="37"/>
      <c r="E48" s="5"/>
      <c r="F48" s="5"/>
      <c r="G48" s="5"/>
    </row>
    <row r="49" ht="15.75" customHeight="1">
      <c r="A49" s="35"/>
      <c r="B49" s="21"/>
      <c r="C49" s="36"/>
      <c r="D49" s="37"/>
      <c r="E49" s="5"/>
      <c r="F49" s="5"/>
      <c r="G49" s="5"/>
    </row>
    <row r="50" ht="15.75" customHeight="1">
      <c r="A50" s="35"/>
      <c r="B50" s="21"/>
      <c r="C50" s="36"/>
      <c r="D50" s="37"/>
      <c r="E50" s="5"/>
      <c r="F50" s="5"/>
      <c r="G50" s="5"/>
    </row>
    <row r="51" ht="15.75" customHeight="1">
      <c r="A51" s="35"/>
      <c r="B51" s="21"/>
      <c r="C51" s="36"/>
      <c r="D51" s="37"/>
      <c r="E51" s="5"/>
      <c r="F51" s="5"/>
      <c r="G51" s="5"/>
    </row>
    <row r="52" ht="15.75" customHeight="1">
      <c r="A52" s="35"/>
      <c r="B52" s="21"/>
      <c r="C52" s="36"/>
      <c r="D52" s="37"/>
      <c r="E52" s="5"/>
      <c r="F52" s="5"/>
      <c r="G52" s="5"/>
    </row>
    <row r="53" ht="15.75" customHeight="1">
      <c r="A53" s="35"/>
      <c r="B53" s="21"/>
      <c r="C53" s="36"/>
      <c r="D53" s="37"/>
      <c r="E53" s="5"/>
      <c r="F53" s="5"/>
      <c r="G53" s="5"/>
    </row>
    <row r="54" ht="15.75" customHeight="1">
      <c r="A54" s="35"/>
      <c r="B54" s="21"/>
      <c r="C54" s="36"/>
      <c r="D54" s="37"/>
      <c r="E54" s="5"/>
      <c r="F54" s="5"/>
      <c r="G54" s="5"/>
    </row>
    <row r="55" ht="15.75" customHeight="1">
      <c r="A55" s="35"/>
      <c r="B55" s="21"/>
      <c r="C55" s="36"/>
      <c r="D55" s="37"/>
      <c r="E55" s="5"/>
      <c r="F55" s="5"/>
      <c r="G55" s="5"/>
    </row>
    <row r="56" ht="15.75" customHeight="1">
      <c r="A56" s="35"/>
      <c r="B56" s="21"/>
      <c r="C56" s="36"/>
      <c r="D56" s="37"/>
      <c r="E56" s="5"/>
      <c r="F56" s="5"/>
      <c r="G56" s="5"/>
    </row>
    <row r="57" ht="15.75" customHeight="1">
      <c r="A57" s="35"/>
      <c r="B57" s="21"/>
      <c r="C57" s="36"/>
      <c r="D57" s="37"/>
      <c r="E57" s="5"/>
      <c r="F57" s="5"/>
      <c r="G57" s="5"/>
    </row>
    <row r="58" ht="15.75" customHeight="1">
      <c r="A58" s="35"/>
      <c r="B58" s="21"/>
      <c r="C58" s="36"/>
      <c r="D58" s="37"/>
      <c r="E58" s="5"/>
      <c r="F58" s="5"/>
      <c r="G58" s="5"/>
    </row>
    <row r="59" ht="15.75" customHeight="1">
      <c r="A59" s="35"/>
      <c r="B59" s="21"/>
      <c r="C59" s="36"/>
      <c r="D59" s="37"/>
      <c r="E59" s="5"/>
      <c r="F59" s="5"/>
      <c r="G59" s="5"/>
    </row>
    <row r="60" ht="15.75" customHeight="1">
      <c r="A60" s="35"/>
      <c r="B60" s="21"/>
      <c r="C60" s="36"/>
      <c r="D60" s="37"/>
      <c r="E60" s="5"/>
      <c r="F60" s="5"/>
      <c r="G60" s="5"/>
    </row>
    <row r="61" ht="15.75" customHeight="1">
      <c r="A61" s="35"/>
      <c r="B61" s="21"/>
      <c r="C61" s="36"/>
      <c r="D61" s="37"/>
      <c r="E61" s="5"/>
      <c r="F61" s="5"/>
      <c r="G61" s="5"/>
    </row>
    <row r="62" ht="15.75" customHeight="1">
      <c r="A62" s="35"/>
      <c r="B62" s="21"/>
      <c r="C62" s="36"/>
      <c r="D62" s="37"/>
      <c r="E62" s="5"/>
      <c r="F62" s="5"/>
      <c r="G62" s="5"/>
    </row>
    <row r="63" ht="15.75" customHeight="1">
      <c r="A63" s="35"/>
      <c r="B63" s="21"/>
      <c r="C63" s="36"/>
      <c r="D63" s="37"/>
      <c r="E63" s="5"/>
      <c r="F63" s="5"/>
      <c r="G63" s="5"/>
    </row>
    <row r="64" ht="15.75" customHeight="1">
      <c r="A64" s="35"/>
      <c r="B64" s="21"/>
      <c r="C64" s="36"/>
      <c r="D64" s="37"/>
      <c r="E64" s="5"/>
      <c r="F64" s="5"/>
      <c r="G64" s="5"/>
    </row>
    <row r="65" ht="15.75" customHeight="1">
      <c r="A65" s="35"/>
      <c r="B65" s="21"/>
      <c r="C65" s="36"/>
      <c r="D65" s="37"/>
      <c r="E65" s="5"/>
      <c r="F65" s="5"/>
      <c r="G65" s="5"/>
    </row>
    <row r="66" ht="15.75" customHeight="1">
      <c r="A66" s="35"/>
      <c r="B66" s="21"/>
      <c r="C66" s="36"/>
      <c r="D66" s="37"/>
      <c r="E66" s="5"/>
      <c r="F66" s="5"/>
      <c r="G66" s="5"/>
    </row>
    <row r="67" ht="15.75" customHeight="1">
      <c r="A67" s="35"/>
      <c r="B67" s="21"/>
      <c r="C67" s="36"/>
      <c r="D67" s="37"/>
      <c r="E67" s="5"/>
      <c r="F67" s="5"/>
      <c r="G67" s="5"/>
    </row>
    <row r="68" ht="15.75" customHeight="1">
      <c r="A68" s="35"/>
      <c r="B68" s="21"/>
      <c r="C68" s="36"/>
      <c r="D68" s="37"/>
      <c r="E68" s="5"/>
      <c r="F68" s="5"/>
      <c r="G68" s="5"/>
    </row>
    <row r="69" ht="15.75" customHeight="1">
      <c r="A69" s="35"/>
      <c r="B69" s="21"/>
      <c r="C69" s="36"/>
      <c r="D69" s="37"/>
      <c r="E69" s="5"/>
      <c r="F69" s="5"/>
      <c r="G69" s="5"/>
    </row>
    <row r="70" ht="15.75" customHeight="1">
      <c r="A70" s="35"/>
      <c r="B70" s="21"/>
      <c r="C70" s="36"/>
      <c r="D70" s="37"/>
      <c r="E70" s="5"/>
      <c r="F70" s="5"/>
      <c r="G70" s="5"/>
    </row>
    <row r="71" ht="15.75" customHeight="1">
      <c r="A71" s="35"/>
      <c r="B71" s="21"/>
      <c r="C71" s="36"/>
      <c r="D71" s="37"/>
      <c r="E71" s="5"/>
      <c r="F71" s="5"/>
      <c r="G71" s="5"/>
    </row>
    <row r="72" ht="15.75" customHeight="1">
      <c r="A72" s="35"/>
      <c r="B72" s="21"/>
      <c r="C72" s="36"/>
      <c r="D72" s="37"/>
      <c r="E72" s="5"/>
      <c r="F72" s="5"/>
      <c r="G72" s="5"/>
    </row>
    <row r="73" ht="15.75" customHeight="1">
      <c r="A73" s="35"/>
      <c r="B73" s="21"/>
      <c r="C73" s="36"/>
      <c r="D73" s="37"/>
      <c r="E73" s="5"/>
      <c r="F73" s="5"/>
      <c r="G73" s="5"/>
    </row>
    <row r="74" ht="15.75" customHeight="1">
      <c r="A74" s="35"/>
      <c r="B74" s="21"/>
      <c r="C74" s="36"/>
      <c r="D74" s="37"/>
      <c r="E74" s="5"/>
      <c r="F74" s="5"/>
      <c r="G74" s="5"/>
    </row>
    <row r="75" ht="15.75" customHeight="1">
      <c r="A75" s="35"/>
      <c r="B75" s="21"/>
      <c r="C75" s="36"/>
      <c r="D75" s="37"/>
      <c r="E75" s="5"/>
      <c r="F75" s="5"/>
      <c r="G75" s="5"/>
    </row>
    <row r="76" ht="15.75" customHeight="1">
      <c r="A76" s="35"/>
      <c r="B76" s="21"/>
      <c r="C76" s="36"/>
      <c r="D76" s="37"/>
      <c r="E76" s="5"/>
      <c r="F76" s="5"/>
      <c r="G76" s="5"/>
    </row>
    <row r="77" ht="15.75" customHeight="1">
      <c r="A77" s="35"/>
      <c r="B77" s="21"/>
      <c r="C77" s="36"/>
      <c r="D77" s="37"/>
      <c r="E77" s="5"/>
      <c r="F77" s="5"/>
      <c r="G77" s="5"/>
    </row>
    <row r="78" ht="15.75" customHeight="1">
      <c r="A78" s="35"/>
      <c r="B78" s="21"/>
      <c r="C78" s="36"/>
      <c r="D78" s="37"/>
      <c r="E78" s="5"/>
      <c r="F78" s="5"/>
      <c r="G78" s="5"/>
    </row>
    <row r="79" ht="15.75" customHeight="1">
      <c r="A79" s="35"/>
      <c r="B79" s="21"/>
      <c r="C79" s="36"/>
      <c r="D79" s="37"/>
      <c r="E79" s="5"/>
      <c r="F79" s="5"/>
      <c r="G79" s="5"/>
    </row>
    <row r="80" ht="15.75" customHeight="1">
      <c r="A80" s="35"/>
      <c r="B80" s="21"/>
      <c r="C80" s="36"/>
      <c r="D80" s="37"/>
      <c r="E80" s="5"/>
      <c r="F80" s="5"/>
      <c r="G80" s="5"/>
    </row>
    <row r="81" ht="15.75" customHeight="1">
      <c r="A81" s="35"/>
      <c r="B81" s="21"/>
      <c r="C81" s="36"/>
      <c r="D81" s="37"/>
      <c r="E81" s="5"/>
      <c r="F81" s="5"/>
      <c r="G81" s="5"/>
    </row>
    <row r="82" ht="15.75" customHeight="1">
      <c r="A82" s="35"/>
      <c r="B82" s="21"/>
      <c r="C82" s="36"/>
      <c r="D82" s="37"/>
      <c r="E82" s="5"/>
      <c r="F82" s="5"/>
      <c r="G82" s="5"/>
    </row>
    <row r="83" ht="15.75" customHeight="1">
      <c r="A83" s="35"/>
      <c r="B83" s="21"/>
      <c r="C83" s="36"/>
      <c r="D83" s="37"/>
      <c r="E83" s="5"/>
      <c r="F83" s="5"/>
      <c r="G83" s="5"/>
    </row>
    <row r="84" ht="15.75" customHeight="1">
      <c r="A84" s="35"/>
      <c r="B84" s="21"/>
      <c r="C84" s="36"/>
      <c r="D84" s="37"/>
      <c r="E84" s="5"/>
      <c r="F84" s="5"/>
      <c r="G84" s="5"/>
    </row>
    <row r="85" ht="15.75" customHeight="1">
      <c r="A85" s="35"/>
      <c r="B85" s="21"/>
      <c r="C85" s="36"/>
      <c r="D85" s="37"/>
      <c r="E85" s="5"/>
      <c r="F85" s="5"/>
      <c r="G85" s="5"/>
    </row>
    <row r="86" ht="15.75" customHeight="1">
      <c r="A86" s="35"/>
      <c r="B86" s="21"/>
      <c r="C86" s="36"/>
      <c r="D86" s="37"/>
      <c r="E86" s="5"/>
      <c r="F86" s="5"/>
      <c r="G86" s="5"/>
    </row>
    <row r="87" ht="15.75" customHeight="1">
      <c r="A87" s="35"/>
      <c r="B87" s="21"/>
      <c r="C87" s="36"/>
      <c r="D87" s="37"/>
      <c r="E87" s="5"/>
      <c r="F87" s="5"/>
      <c r="G87" s="5"/>
    </row>
    <row r="88" ht="15.75" customHeight="1">
      <c r="A88" s="35"/>
      <c r="B88" s="21"/>
      <c r="C88" s="36"/>
      <c r="D88" s="37"/>
      <c r="E88" s="5"/>
      <c r="F88" s="5"/>
      <c r="G88" s="5"/>
    </row>
    <row r="89" ht="15.75" customHeight="1">
      <c r="A89" s="35"/>
      <c r="B89" s="21"/>
      <c r="C89" s="36"/>
      <c r="D89" s="37"/>
      <c r="E89" s="5"/>
      <c r="F89" s="5"/>
      <c r="G89" s="5"/>
    </row>
    <row r="90" ht="15.75" customHeight="1">
      <c r="A90" s="35"/>
      <c r="B90" s="21"/>
      <c r="C90" s="36"/>
      <c r="D90" s="37"/>
      <c r="E90" s="5"/>
      <c r="F90" s="5"/>
      <c r="G90" s="5"/>
    </row>
    <row r="91" ht="15.75" customHeight="1">
      <c r="A91" s="35"/>
      <c r="B91" s="21"/>
      <c r="C91" s="36"/>
      <c r="D91" s="37"/>
      <c r="E91" s="5"/>
      <c r="F91" s="5"/>
      <c r="G91" s="5"/>
    </row>
    <row r="92" ht="15.75" customHeight="1">
      <c r="A92" s="35"/>
      <c r="B92" s="21"/>
      <c r="C92" s="36"/>
      <c r="D92" s="37"/>
      <c r="E92" s="5"/>
      <c r="F92" s="5"/>
      <c r="G92" s="5"/>
    </row>
    <row r="93" ht="15.75" customHeight="1">
      <c r="A93" s="35"/>
      <c r="B93" s="21"/>
      <c r="C93" s="36"/>
      <c r="D93" s="37"/>
      <c r="E93" s="5"/>
      <c r="F93" s="5"/>
      <c r="G93" s="5"/>
    </row>
    <row r="94" ht="15.75" customHeight="1">
      <c r="A94" s="35"/>
      <c r="B94" s="21"/>
      <c r="C94" s="36"/>
      <c r="D94" s="37"/>
      <c r="E94" s="5"/>
      <c r="F94" s="5"/>
      <c r="G94" s="5"/>
    </row>
    <row r="95" ht="15.75" customHeight="1">
      <c r="A95" s="35"/>
      <c r="B95" s="21"/>
      <c r="C95" s="36"/>
      <c r="D95" s="37"/>
      <c r="E95" s="5"/>
      <c r="F95" s="5"/>
      <c r="G95" s="5"/>
    </row>
    <row r="96" ht="15.75" customHeight="1">
      <c r="A96" s="35"/>
      <c r="B96" s="21"/>
      <c r="C96" s="36"/>
      <c r="D96" s="37"/>
      <c r="E96" s="5"/>
      <c r="F96" s="5"/>
      <c r="G96" s="5"/>
    </row>
    <row r="97" ht="15.75" customHeight="1">
      <c r="A97" s="35"/>
      <c r="B97" s="21"/>
      <c r="C97" s="36"/>
      <c r="D97" s="37"/>
      <c r="E97" s="5"/>
      <c r="F97" s="5"/>
      <c r="G97" s="5"/>
    </row>
    <row r="98" ht="15.75" customHeight="1">
      <c r="A98" s="35"/>
      <c r="B98" s="21"/>
      <c r="C98" s="36"/>
      <c r="D98" s="37"/>
      <c r="E98" s="5"/>
      <c r="F98" s="5"/>
      <c r="G98" s="5"/>
    </row>
    <row r="99" ht="15.75" customHeight="1">
      <c r="A99" s="35"/>
      <c r="B99" s="21"/>
      <c r="C99" s="36"/>
      <c r="D99" s="37"/>
      <c r="E99" s="5"/>
      <c r="F99" s="5"/>
      <c r="G99" s="5"/>
    </row>
    <row r="100" ht="15.75" customHeight="1">
      <c r="A100" s="35"/>
      <c r="B100" s="21"/>
      <c r="C100" s="36"/>
      <c r="D100" s="37"/>
      <c r="E100" s="5"/>
      <c r="F100" s="5"/>
      <c r="G100" s="5"/>
    </row>
    <row r="101" ht="15.75" customHeight="1">
      <c r="A101" s="35"/>
      <c r="B101" s="21"/>
      <c r="C101" s="36"/>
      <c r="D101" s="37"/>
      <c r="E101" s="5"/>
      <c r="F101" s="5"/>
      <c r="G101" s="5"/>
    </row>
    <row r="102" ht="15.75" customHeight="1">
      <c r="A102" s="35"/>
      <c r="B102" s="21"/>
      <c r="C102" s="36"/>
      <c r="D102" s="37"/>
      <c r="E102" s="5"/>
      <c r="F102" s="5"/>
      <c r="G102" s="5"/>
    </row>
    <row r="103" ht="15.75" customHeight="1">
      <c r="A103" s="35"/>
      <c r="B103" s="21"/>
      <c r="C103" s="36"/>
      <c r="D103" s="37"/>
      <c r="E103" s="5"/>
      <c r="F103" s="5"/>
      <c r="G103" s="5"/>
    </row>
    <row r="104" ht="15.75" customHeight="1">
      <c r="A104" s="35"/>
      <c r="B104" s="21"/>
      <c r="C104" s="36"/>
      <c r="D104" s="37"/>
      <c r="E104" s="5"/>
      <c r="F104" s="5"/>
      <c r="G104" s="5"/>
    </row>
    <row r="105" ht="15.75" customHeight="1">
      <c r="A105" s="35"/>
      <c r="B105" s="21"/>
      <c r="C105" s="36"/>
      <c r="D105" s="37"/>
      <c r="E105" s="5"/>
      <c r="F105" s="5"/>
      <c r="G105" s="5"/>
    </row>
    <row r="106" ht="15.75" customHeight="1">
      <c r="A106" s="35"/>
      <c r="B106" s="21"/>
      <c r="C106" s="36"/>
      <c r="D106" s="37"/>
      <c r="E106" s="5"/>
      <c r="F106" s="5"/>
      <c r="G106" s="5"/>
    </row>
    <row r="107" ht="15.75" customHeight="1">
      <c r="A107" s="35"/>
      <c r="B107" s="21"/>
      <c r="C107" s="36"/>
      <c r="D107" s="37"/>
      <c r="E107" s="5"/>
      <c r="F107" s="5"/>
      <c r="G107" s="5"/>
    </row>
    <row r="108" ht="15.75" customHeight="1">
      <c r="A108" s="35"/>
      <c r="B108" s="21"/>
      <c r="C108" s="36"/>
      <c r="D108" s="37"/>
      <c r="E108" s="5"/>
      <c r="F108" s="5"/>
      <c r="G108" s="5"/>
    </row>
    <row r="109" ht="15.75" customHeight="1">
      <c r="A109" s="35"/>
      <c r="B109" s="21"/>
      <c r="C109" s="36"/>
      <c r="D109" s="37"/>
      <c r="E109" s="5"/>
      <c r="F109" s="5"/>
      <c r="G109" s="5"/>
    </row>
    <row r="110" ht="15.75" customHeight="1">
      <c r="A110" s="35"/>
      <c r="B110" s="21"/>
      <c r="C110" s="36"/>
      <c r="D110" s="37"/>
      <c r="E110" s="5"/>
      <c r="F110" s="5"/>
      <c r="G110" s="5"/>
    </row>
    <row r="111" ht="15.75" customHeight="1">
      <c r="A111" s="35"/>
      <c r="B111" s="21"/>
      <c r="C111" s="36"/>
      <c r="D111" s="37"/>
      <c r="E111" s="5"/>
      <c r="F111" s="5"/>
      <c r="G111" s="5"/>
    </row>
    <row r="112" ht="15.75" customHeight="1">
      <c r="A112" s="35"/>
      <c r="B112" s="21"/>
      <c r="C112" s="36"/>
      <c r="D112" s="37"/>
      <c r="E112" s="5"/>
      <c r="F112" s="5"/>
      <c r="G112" s="5"/>
    </row>
    <row r="113" ht="15.75" customHeight="1">
      <c r="A113" s="35"/>
      <c r="B113" s="21"/>
      <c r="C113" s="36"/>
      <c r="D113" s="37"/>
      <c r="E113" s="5"/>
      <c r="F113" s="5"/>
      <c r="G113" s="5"/>
    </row>
    <row r="114" ht="15.75" customHeight="1">
      <c r="A114" s="35"/>
      <c r="B114" s="21"/>
      <c r="C114" s="36"/>
      <c r="D114" s="37"/>
      <c r="E114" s="5"/>
      <c r="F114" s="5"/>
      <c r="G114" s="5"/>
    </row>
    <row r="115" ht="15.75" customHeight="1">
      <c r="A115" s="35"/>
      <c r="B115" s="21"/>
      <c r="C115" s="36"/>
      <c r="D115" s="37"/>
      <c r="E115" s="5"/>
      <c r="F115" s="5"/>
      <c r="G115" s="5"/>
    </row>
    <row r="116" ht="15.75" customHeight="1">
      <c r="A116" s="35"/>
      <c r="B116" s="21"/>
      <c r="C116" s="36"/>
      <c r="D116" s="37"/>
      <c r="E116" s="5"/>
      <c r="F116" s="5"/>
      <c r="G116" s="5"/>
    </row>
    <row r="117" ht="15.75" customHeight="1">
      <c r="A117" s="35"/>
      <c r="B117" s="21"/>
      <c r="C117" s="36"/>
      <c r="D117" s="37"/>
      <c r="E117" s="5"/>
      <c r="F117" s="5"/>
      <c r="G117" s="5"/>
    </row>
    <row r="118" ht="15.75" customHeight="1">
      <c r="A118" s="35"/>
      <c r="B118" s="21"/>
      <c r="C118" s="36"/>
      <c r="D118" s="37"/>
      <c r="E118" s="5"/>
      <c r="F118" s="5"/>
      <c r="G118" s="5"/>
    </row>
    <row r="119" ht="15.75" customHeight="1">
      <c r="A119" s="35"/>
      <c r="B119" s="21"/>
      <c r="C119" s="36"/>
      <c r="D119" s="37"/>
      <c r="E119" s="5"/>
      <c r="F119" s="5"/>
      <c r="G119" s="5"/>
    </row>
    <row r="120" ht="15.75" customHeight="1">
      <c r="A120" s="35"/>
      <c r="B120" s="21"/>
      <c r="C120" s="36"/>
      <c r="D120" s="37"/>
      <c r="E120" s="5"/>
      <c r="F120" s="5"/>
      <c r="G120" s="5"/>
    </row>
    <row r="121" ht="15.75" customHeight="1">
      <c r="A121" s="35"/>
      <c r="B121" s="21"/>
      <c r="C121" s="36"/>
      <c r="D121" s="37"/>
      <c r="E121" s="5"/>
      <c r="F121" s="5"/>
      <c r="G121" s="5"/>
    </row>
    <row r="122" ht="15.75" customHeight="1">
      <c r="A122" s="35"/>
      <c r="B122" s="21"/>
      <c r="C122" s="36"/>
      <c r="D122" s="37"/>
      <c r="E122" s="5"/>
      <c r="F122" s="5"/>
      <c r="G122" s="5"/>
    </row>
    <row r="123" ht="15.75" customHeight="1">
      <c r="A123" s="35"/>
      <c r="B123" s="21"/>
      <c r="C123" s="36"/>
      <c r="D123" s="37"/>
      <c r="E123" s="5"/>
      <c r="F123" s="5"/>
      <c r="G123" s="5"/>
    </row>
    <row r="124" ht="15.75" customHeight="1">
      <c r="A124" s="35"/>
      <c r="B124" s="21"/>
      <c r="C124" s="36"/>
      <c r="D124" s="37"/>
      <c r="E124" s="5"/>
      <c r="F124" s="5"/>
      <c r="G124" s="5"/>
    </row>
    <row r="125" ht="15.75" customHeight="1">
      <c r="A125" s="35"/>
      <c r="B125" s="21"/>
      <c r="C125" s="36"/>
      <c r="D125" s="37"/>
      <c r="E125" s="5"/>
      <c r="F125" s="5"/>
      <c r="G125" s="5"/>
    </row>
    <row r="126" ht="15.75" customHeight="1">
      <c r="A126" s="35"/>
      <c r="B126" s="21"/>
      <c r="C126" s="36"/>
      <c r="D126" s="37"/>
      <c r="E126" s="5"/>
      <c r="F126" s="5"/>
      <c r="G126" s="5"/>
    </row>
    <row r="127" ht="15.75" customHeight="1">
      <c r="A127" s="35"/>
      <c r="B127" s="21"/>
      <c r="C127" s="36"/>
      <c r="D127" s="37"/>
      <c r="E127" s="5"/>
      <c r="F127" s="5"/>
      <c r="G127" s="5"/>
    </row>
    <row r="128" ht="15.75" customHeight="1">
      <c r="A128" s="35"/>
      <c r="B128" s="21"/>
      <c r="C128" s="36"/>
      <c r="D128" s="37"/>
      <c r="E128" s="5"/>
      <c r="F128" s="5"/>
      <c r="G128" s="5"/>
    </row>
    <row r="129" ht="15.75" customHeight="1">
      <c r="A129" s="35"/>
      <c r="B129" s="21"/>
      <c r="C129" s="36"/>
      <c r="D129" s="37"/>
      <c r="E129" s="5"/>
      <c r="F129" s="5"/>
      <c r="G129" s="5"/>
    </row>
    <row r="130" ht="15.75" customHeight="1">
      <c r="A130" s="35"/>
      <c r="B130" s="21"/>
      <c r="C130" s="36"/>
      <c r="D130" s="37"/>
      <c r="E130" s="5"/>
      <c r="F130" s="5"/>
      <c r="G130" s="5"/>
    </row>
    <row r="131" ht="15.75" customHeight="1">
      <c r="A131" s="35"/>
      <c r="B131" s="21"/>
      <c r="C131" s="36"/>
      <c r="D131" s="37"/>
      <c r="E131" s="5"/>
      <c r="F131" s="5"/>
      <c r="G131" s="5"/>
    </row>
    <row r="132" ht="15.75" customHeight="1">
      <c r="A132" s="35"/>
      <c r="B132" s="21"/>
      <c r="C132" s="36"/>
      <c r="D132" s="37"/>
      <c r="E132" s="5"/>
      <c r="F132" s="5"/>
      <c r="G132" s="5"/>
    </row>
    <row r="133" ht="15.75" customHeight="1">
      <c r="A133" s="35"/>
      <c r="B133" s="21"/>
      <c r="C133" s="36"/>
      <c r="D133" s="37"/>
      <c r="E133" s="5"/>
      <c r="F133" s="5"/>
      <c r="G133" s="5"/>
    </row>
    <row r="134" ht="15.75" customHeight="1">
      <c r="A134" s="35"/>
      <c r="B134" s="21"/>
      <c r="C134" s="36"/>
      <c r="D134" s="37"/>
      <c r="E134" s="5"/>
      <c r="F134" s="5"/>
      <c r="G134" s="5"/>
    </row>
    <row r="135" ht="15.75" customHeight="1">
      <c r="A135" s="35"/>
      <c r="B135" s="21"/>
      <c r="C135" s="36"/>
      <c r="D135" s="37"/>
      <c r="E135" s="5"/>
      <c r="F135" s="5"/>
      <c r="G135" s="5"/>
    </row>
    <row r="136" ht="15.75" customHeight="1">
      <c r="A136" s="35"/>
      <c r="B136" s="21"/>
      <c r="C136" s="36"/>
      <c r="D136" s="37"/>
      <c r="E136" s="5"/>
      <c r="F136" s="5"/>
      <c r="G136" s="5"/>
    </row>
    <row r="137" ht="15.75" customHeight="1">
      <c r="A137" s="35"/>
      <c r="B137" s="21"/>
      <c r="C137" s="36"/>
      <c r="D137" s="37"/>
      <c r="E137" s="5"/>
      <c r="F137" s="5"/>
      <c r="G137" s="5"/>
    </row>
    <row r="138" ht="15.75" customHeight="1">
      <c r="A138" s="35"/>
      <c r="B138" s="21"/>
      <c r="C138" s="36"/>
      <c r="D138" s="37"/>
      <c r="E138" s="5"/>
      <c r="F138" s="5"/>
      <c r="G138" s="5"/>
    </row>
    <row r="139" ht="15.75" customHeight="1">
      <c r="A139" s="35"/>
      <c r="B139" s="21"/>
      <c r="C139" s="36"/>
      <c r="D139" s="37"/>
      <c r="E139" s="5"/>
      <c r="F139" s="5"/>
      <c r="G139" s="5"/>
    </row>
    <row r="140" ht="15.75" customHeight="1">
      <c r="A140" s="35"/>
      <c r="B140" s="21"/>
      <c r="C140" s="36"/>
      <c r="D140" s="37"/>
      <c r="E140" s="5"/>
      <c r="F140" s="5"/>
      <c r="G140" s="5"/>
    </row>
    <row r="141" ht="15.75" customHeight="1">
      <c r="A141" s="35"/>
      <c r="B141" s="21"/>
      <c r="C141" s="36"/>
      <c r="D141" s="37"/>
      <c r="E141" s="5"/>
      <c r="F141" s="5"/>
      <c r="G141" s="5"/>
    </row>
    <row r="142" ht="15.75" customHeight="1">
      <c r="A142" s="35"/>
      <c r="B142" s="21"/>
      <c r="C142" s="36"/>
      <c r="D142" s="37"/>
      <c r="E142" s="5"/>
      <c r="F142" s="5"/>
      <c r="G142" s="5"/>
    </row>
    <row r="143" ht="15.75" customHeight="1">
      <c r="A143" s="35"/>
      <c r="B143" s="21"/>
      <c r="C143" s="36"/>
      <c r="D143" s="37"/>
      <c r="E143" s="5"/>
      <c r="F143" s="5"/>
      <c r="G143" s="5"/>
    </row>
    <row r="144" ht="15.75" customHeight="1">
      <c r="A144" s="35"/>
      <c r="B144" s="21"/>
      <c r="C144" s="36"/>
      <c r="D144" s="37"/>
      <c r="E144" s="5"/>
      <c r="F144" s="5"/>
      <c r="G144" s="5"/>
    </row>
    <row r="145" ht="15.75" customHeight="1">
      <c r="A145" s="35"/>
      <c r="B145" s="21"/>
      <c r="C145" s="36"/>
      <c r="D145" s="37"/>
      <c r="E145" s="5"/>
      <c r="F145" s="5"/>
      <c r="G145" s="5"/>
    </row>
    <row r="146" ht="15.75" customHeight="1">
      <c r="A146" s="35"/>
      <c r="B146" s="21"/>
      <c r="C146" s="36"/>
      <c r="D146" s="37"/>
      <c r="E146" s="5"/>
      <c r="F146" s="5"/>
      <c r="G146" s="5"/>
    </row>
    <row r="147" ht="15.75" customHeight="1">
      <c r="A147" s="35"/>
      <c r="B147" s="21"/>
      <c r="C147" s="36"/>
      <c r="D147" s="37"/>
      <c r="E147" s="5"/>
      <c r="F147" s="5"/>
      <c r="G147" s="5"/>
    </row>
    <row r="148" ht="15.75" customHeight="1">
      <c r="A148" s="35"/>
      <c r="B148" s="21"/>
      <c r="C148" s="36"/>
      <c r="D148" s="37"/>
      <c r="E148" s="5"/>
      <c r="F148" s="5"/>
      <c r="G148" s="5"/>
    </row>
    <row r="149" ht="15.75" customHeight="1">
      <c r="A149" s="35"/>
      <c r="B149" s="21"/>
      <c r="C149" s="36"/>
      <c r="D149" s="37"/>
      <c r="E149" s="5"/>
      <c r="F149" s="5"/>
      <c r="G149" s="5"/>
    </row>
    <row r="150" ht="15.75" customHeight="1">
      <c r="A150" s="35"/>
      <c r="B150" s="21"/>
      <c r="C150" s="36"/>
      <c r="D150" s="37"/>
      <c r="E150" s="5"/>
      <c r="F150" s="5"/>
      <c r="G150" s="5"/>
    </row>
    <row r="151" ht="15.75" customHeight="1">
      <c r="A151" s="35"/>
      <c r="B151" s="21"/>
      <c r="C151" s="36"/>
      <c r="D151" s="37"/>
      <c r="E151" s="5"/>
      <c r="F151" s="5"/>
      <c r="G151" s="5"/>
    </row>
    <row r="152" ht="15.75" customHeight="1">
      <c r="A152" s="35"/>
      <c r="B152" s="21"/>
      <c r="C152" s="36"/>
      <c r="D152" s="37"/>
      <c r="E152" s="5"/>
      <c r="F152" s="5"/>
      <c r="G152" s="5"/>
    </row>
    <row r="153" ht="15.75" customHeight="1">
      <c r="A153" s="35"/>
      <c r="B153" s="21"/>
      <c r="C153" s="36"/>
      <c r="D153" s="37"/>
      <c r="E153" s="5"/>
      <c r="F153" s="5"/>
      <c r="G153" s="5"/>
    </row>
    <row r="154" ht="15.75" customHeight="1">
      <c r="A154" s="35"/>
      <c r="B154" s="21"/>
      <c r="C154" s="36"/>
      <c r="D154" s="37"/>
      <c r="E154" s="5"/>
      <c r="F154" s="5"/>
      <c r="G154" s="5"/>
    </row>
    <row r="155" ht="15.75" customHeight="1">
      <c r="A155" s="35"/>
      <c r="B155" s="21"/>
      <c r="C155" s="36"/>
      <c r="D155" s="37"/>
      <c r="E155" s="5"/>
      <c r="F155" s="5"/>
      <c r="G155" s="5"/>
    </row>
    <row r="156" ht="15.75" customHeight="1">
      <c r="A156" s="35"/>
      <c r="B156" s="21"/>
      <c r="C156" s="36"/>
      <c r="D156" s="37"/>
      <c r="E156" s="5"/>
      <c r="F156" s="5"/>
      <c r="G156" s="5"/>
    </row>
    <row r="157" ht="15.75" customHeight="1">
      <c r="A157" s="35"/>
      <c r="B157" s="21"/>
      <c r="C157" s="36"/>
      <c r="D157" s="37"/>
      <c r="E157" s="5"/>
      <c r="F157" s="5"/>
      <c r="G157" s="5"/>
    </row>
    <row r="158" ht="15.75" customHeight="1">
      <c r="A158" s="35"/>
      <c r="B158" s="21"/>
      <c r="C158" s="36"/>
      <c r="D158" s="37"/>
      <c r="E158" s="5"/>
      <c r="F158" s="5"/>
      <c r="G158" s="5"/>
    </row>
    <row r="159" ht="15.75" customHeight="1">
      <c r="A159" s="35"/>
      <c r="B159" s="21"/>
      <c r="C159" s="36"/>
      <c r="D159" s="37"/>
      <c r="E159" s="5"/>
      <c r="F159" s="5"/>
      <c r="G159" s="5"/>
    </row>
    <row r="160" ht="15.75" customHeight="1">
      <c r="A160" s="35"/>
      <c r="B160" s="21"/>
      <c r="C160" s="36"/>
      <c r="D160" s="37"/>
      <c r="E160" s="5"/>
      <c r="F160" s="5"/>
      <c r="G160" s="5"/>
    </row>
    <row r="161" ht="15.75" customHeight="1">
      <c r="A161" s="35"/>
      <c r="B161" s="21"/>
      <c r="C161" s="36"/>
      <c r="D161" s="37"/>
      <c r="E161" s="5"/>
      <c r="F161" s="5"/>
      <c r="G161" s="5"/>
    </row>
    <row r="162" ht="15.75" customHeight="1">
      <c r="A162" s="35"/>
      <c r="B162" s="21"/>
      <c r="C162" s="36"/>
      <c r="D162" s="37"/>
      <c r="E162" s="5"/>
      <c r="F162" s="5"/>
      <c r="G162" s="5"/>
    </row>
    <row r="163" ht="15.75" customHeight="1">
      <c r="A163" s="35"/>
      <c r="B163" s="21"/>
      <c r="C163" s="36"/>
      <c r="D163" s="37"/>
      <c r="E163" s="5"/>
      <c r="F163" s="5"/>
      <c r="G163" s="5"/>
    </row>
    <row r="164" ht="15.75" customHeight="1">
      <c r="A164" s="35"/>
      <c r="B164" s="21"/>
      <c r="C164" s="36"/>
      <c r="D164" s="37"/>
      <c r="E164" s="5"/>
      <c r="F164" s="5"/>
      <c r="G164" s="5"/>
    </row>
    <row r="165" ht="15.75" customHeight="1">
      <c r="A165" s="35"/>
      <c r="B165" s="21"/>
      <c r="C165" s="36"/>
      <c r="D165" s="37"/>
      <c r="E165" s="5"/>
      <c r="F165" s="5"/>
      <c r="G165" s="5"/>
    </row>
    <row r="166" ht="15.75" customHeight="1">
      <c r="A166" s="35"/>
      <c r="B166" s="21"/>
      <c r="C166" s="36"/>
      <c r="D166" s="37"/>
      <c r="E166" s="5"/>
      <c r="F166" s="5"/>
      <c r="G166" s="5"/>
    </row>
    <row r="167" ht="15.75" customHeight="1">
      <c r="A167" s="35"/>
      <c r="B167" s="21"/>
      <c r="C167" s="36"/>
      <c r="D167" s="37"/>
      <c r="E167" s="5"/>
      <c r="F167" s="5"/>
      <c r="G167" s="5"/>
    </row>
    <row r="168" ht="15.75" customHeight="1">
      <c r="A168" s="35"/>
      <c r="B168" s="21"/>
      <c r="C168" s="36"/>
      <c r="D168" s="37"/>
      <c r="E168" s="5"/>
      <c r="F168" s="5"/>
      <c r="G168" s="5"/>
    </row>
    <row r="169" ht="15.75" customHeight="1">
      <c r="A169" s="35"/>
      <c r="B169" s="21"/>
      <c r="C169" s="36"/>
      <c r="D169" s="37"/>
      <c r="E169" s="5"/>
      <c r="F169" s="5"/>
      <c r="G169" s="5"/>
    </row>
    <row r="170" ht="15.75" customHeight="1">
      <c r="A170" s="35"/>
      <c r="B170" s="21"/>
      <c r="C170" s="36"/>
      <c r="D170" s="37"/>
      <c r="E170" s="5"/>
      <c r="F170" s="5"/>
      <c r="G170" s="5"/>
    </row>
    <row r="171" ht="15.75" customHeight="1">
      <c r="A171" s="35"/>
      <c r="B171" s="21"/>
      <c r="C171" s="36"/>
      <c r="D171" s="37"/>
      <c r="E171" s="5"/>
      <c r="F171" s="5"/>
      <c r="G171" s="5"/>
    </row>
    <row r="172" ht="15.75" customHeight="1">
      <c r="A172" s="35"/>
      <c r="B172" s="21"/>
      <c r="C172" s="36"/>
      <c r="D172" s="37"/>
      <c r="E172" s="5"/>
      <c r="F172" s="5"/>
      <c r="G172" s="5"/>
    </row>
    <row r="173" ht="15.75" customHeight="1">
      <c r="A173" s="35"/>
      <c r="B173" s="21"/>
      <c r="C173" s="36"/>
      <c r="D173" s="37"/>
      <c r="E173" s="5"/>
      <c r="F173" s="5"/>
      <c r="G173" s="5"/>
    </row>
    <row r="174" ht="15.75" customHeight="1">
      <c r="A174" s="35"/>
      <c r="B174" s="21"/>
      <c r="C174" s="36"/>
      <c r="D174" s="37"/>
      <c r="E174" s="5"/>
      <c r="F174" s="5"/>
      <c r="G174" s="5"/>
    </row>
    <row r="175" ht="15.75" customHeight="1">
      <c r="A175" s="35"/>
      <c r="B175" s="21"/>
      <c r="C175" s="36"/>
      <c r="D175" s="37"/>
      <c r="E175" s="5"/>
      <c r="F175" s="5"/>
      <c r="G175" s="5"/>
    </row>
    <row r="176" ht="15.75" customHeight="1">
      <c r="A176" s="35"/>
      <c r="B176" s="21"/>
      <c r="C176" s="36"/>
      <c r="D176" s="37"/>
      <c r="E176" s="5"/>
      <c r="F176" s="5"/>
      <c r="G176" s="5"/>
    </row>
    <row r="177" ht="15.75" customHeight="1">
      <c r="A177" s="35"/>
      <c r="B177" s="21"/>
      <c r="C177" s="36"/>
      <c r="D177" s="37"/>
      <c r="E177" s="5"/>
      <c r="F177" s="5"/>
      <c r="G177" s="5"/>
    </row>
    <row r="178" ht="15.75" customHeight="1">
      <c r="A178" s="35"/>
      <c r="B178" s="21"/>
      <c r="C178" s="36"/>
      <c r="D178" s="37"/>
      <c r="E178" s="5"/>
      <c r="F178" s="5"/>
      <c r="G178" s="5"/>
    </row>
    <row r="179" ht="15.75" customHeight="1">
      <c r="A179" s="35"/>
      <c r="B179" s="21"/>
      <c r="C179" s="36"/>
      <c r="D179" s="37"/>
      <c r="E179" s="5"/>
      <c r="F179" s="5"/>
      <c r="G179" s="5"/>
    </row>
    <row r="180" ht="15.75" customHeight="1">
      <c r="A180" s="35"/>
      <c r="B180" s="21"/>
      <c r="C180" s="36"/>
      <c r="D180" s="37"/>
      <c r="E180" s="5"/>
      <c r="F180" s="5"/>
      <c r="G180" s="5"/>
    </row>
    <row r="181" ht="15.75" customHeight="1">
      <c r="A181" s="35"/>
      <c r="B181" s="21"/>
      <c r="C181" s="36"/>
      <c r="D181" s="37"/>
      <c r="E181" s="5"/>
      <c r="F181" s="5"/>
      <c r="G181" s="5"/>
    </row>
    <row r="182" ht="15.75" customHeight="1">
      <c r="A182" s="35"/>
      <c r="B182" s="21"/>
      <c r="C182" s="36"/>
      <c r="D182" s="37"/>
      <c r="E182" s="5"/>
      <c r="F182" s="5"/>
      <c r="G182" s="5"/>
    </row>
    <row r="183" ht="15.75" customHeight="1">
      <c r="A183" s="35"/>
      <c r="B183" s="21"/>
      <c r="C183" s="36"/>
      <c r="D183" s="37"/>
      <c r="E183" s="5"/>
      <c r="F183" s="5"/>
      <c r="G183" s="5"/>
    </row>
    <row r="184" ht="15.75" customHeight="1">
      <c r="A184" s="35"/>
      <c r="B184" s="21"/>
      <c r="C184" s="36"/>
      <c r="D184" s="37"/>
      <c r="E184" s="5"/>
      <c r="F184" s="5"/>
      <c r="G184" s="5"/>
    </row>
    <row r="185" ht="15.75" customHeight="1">
      <c r="A185" s="35"/>
      <c r="B185" s="21"/>
      <c r="C185" s="36"/>
      <c r="D185" s="37"/>
      <c r="E185" s="5"/>
      <c r="F185" s="5"/>
      <c r="G185" s="5"/>
    </row>
    <row r="186" ht="15.75" customHeight="1">
      <c r="A186" s="35"/>
      <c r="B186" s="21"/>
      <c r="C186" s="36"/>
      <c r="D186" s="37"/>
      <c r="E186" s="5"/>
      <c r="F186" s="5"/>
      <c r="G186" s="5"/>
    </row>
    <row r="187" ht="15.75" customHeight="1">
      <c r="A187" s="35"/>
      <c r="B187" s="21"/>
      <c r="C187" s="36"/>
      <c r="D187" s="37"/>
      <c r="E187" s="5"/>
      <c r="F187" s="5"/>
      <c r="G187" s="5"/>
    </row>
    <row r="188" ht="15.75" customHeight="1">
      <c r="A188" s="35"/>
      <c r="B188" s="21"/>
      <c r="C188" s="36"/>
      <c r="D188" s="37"/>
      <c r="E188" s="5"/>
      <c r="F188" s="5"/>
      <c r="G188" s="5"/>
    </row>
    <row r="189" ht="15.75" customHeight="1">
      <c r="A189" s="35"/>
      <c r="B189" s="21"/>
      <c r="C189" s="36"/>
      <c r="D189" s="37"/>
      <c r="E189" s="5"/>
      <c r="F189" s="5"/>
      <c r="G189" s="5"/>
    </row>
    <row r="190" ht="15.75" customHeight="1">
      <c r="A190" s="35"/>
      <c r="B190" s="21"/>
      <c r="C190" s="36"/>
      <c r="D190" s="37"/>
      <c r="E190" s="5"/>
      <c r="F190" s="5"/>
      <c r="G190" s="5"/>
    </row>
    <row r="191" ht="15.75" customHeight="1">
      <c r="A191" s="35"/>
      <c r="B191" s="21"/>
      <c r="C191" s="36"/>
      <c r="D191" s="37"/>
      <c r="E191" s="5"/>
      <c r="F191" s="5"/>
      <c r="G191" s="5"/>
    </row>
    <row r="192" ht="15.75" customHeight="1">
      <c r="A192" s="35"/>
      <c r="B192" s="21"/>
      <c r="C192" s="36"/>
      <c r="D192" s="37"/>
      <c r="E192" s="5"/>
      <c r="F192" s="5"/>
      <c r="G192" s="5"/>
    </row>
    <row r="193" ht="15.75" customHeight="1">
      <c r="A193" s="35"/>
      <c r="B193" s="21"/>
      <c r="C193" s="36"/>
      <c r="D193" s="37"/>
      <c r="E193" s="5"/>
      <c r="F193" s="5"/>
      <c r="G193" s="5"/>
    </row>
    <row r="194" ht="15.75" customHeight="1">
      <c r="A194" s="35"/>
      <c r="B194" s="21"/>
      <c r="C194" s="36"/>
      <c r="D194" s="37"/>
      <c r="E194" s="5"/>
      <c r="F194" s="5"/>
      <c r="G194" s="5"/>
    </row>
    <row r="195" ht="15.75" customHeight="1">
      <c r="A195" s="35"/>
      <c r="B195" s="21"/>
      <c r="C195" s="36"/>
      <c r="D195" s="37"/>
      <c r="E195" s="5"/>
      <c r="F195" s="5"/>
      <c r="G195" s="5"/>
    </row>
    <row r="196" ht="15.75" customHeight="1">
      <c r="A196" s="35"/>
      <c r="B196" s="21"/>
      <c r="C196" s="36"/>
      <c r="D196" s="37"/>
      <c r="E196" s="5"/>
      <c r="F196" s="5"/>
      <c r="G196" s="5"/>
    </row>
    <row r="197" ht="15.75" customHeight="1">
      <c r="A197" s="35"/>
      <c r="B197" s="21"/>
      <c r="C197" s="36"/>
      <c r="D197" s="37"/>
      <c r="E197" s="5"/>
      <c r="F197" s="5"/>
      <c r="G197" s="5"/>
    </row>
    <row r="198" ht="15.75" customHeight="1">
      <c r="A198" s="35"/>
      <c r="B198" s="21"/>
      <c r="C198" s="36"/>
      <c r="D198" s="37"/>
      <c r="E198" s="5"/>
      <c r="F198" s="5"/>
      <c r="G198" s="5"/>
    </row>
    <row r="199" ht="15.75" customHeight="1">
      <c r="A199" s="35"/>
      <c r="B199" s="21"/>
      <c r="C199" s="36"/>
      <c r="D199" s="37"/>
      <c r="E199" s="5"/>
      <c r="F199" s="5"/>
      <c r="G199" s="5"/>
    </row>
    <row r="200" ht="15.75" customHeight="1">
      <c r="A200" s="35"/>
      <c r="B200" s="21"/>
      <c r="C200" s="36"/>
      <c r="D200" s="37"/>
      <c r="E200" s="5"/>
      <c r="F200" s="5"/>
      <c r="G200" s="5"/>
    </row>
    <row r="201" ht="15.75" customHeight="1">
      <c r="A201" s="35"/>
      <c r="B201" s="21"/>
      <c r="C201" s="36"/>
      <c r="D201" s="37"/>
      <c r="E201" s="5"/>
      <c r="F201" s="5"/>
      <c r="G201" s="5"/>
    </row>
    <row r="202" ht="15.75" customHeight="1">
      <c r="A202" s="35"/>
      <c r="B202" s="21"/>
      <c r="C202" s="36"/>
      <c r="D202" s="37"/>
      <c r="E202" s="5"/>
      <c r="F202" s="5"/>
      <c r="G202" s="5"/>
    </row>
    <row r="203" ht="15.75" customHeight="1">
      <c r="A203" s="35"/>
      <c r="B203" s="21"/>
      <c r="C203" s="36"/>
      <c r="D203" s="37"/>
      <c r="E203" s="5"/>
      <c r="F203" s="5"/>
      <c r="G203" s="5"/>
    </row>
    <row r="204" ht="15.75" customHeight="1">
      <c r="A204" s="35"/>
      <c r="B204" s="21"/>
      <c r="C204" s="36"/>
      <c r="D204" s="37"/>
      <c r="E204" s="5"/>
      <c r="F204" s="5"/>
      <c r="G204" s="5"/>
    </row>
    <row r="205" ht="15.75" customHeight="1">
      <c r="A205" s="35"/>
      <c r="B205" s="21"/>
      <c r="C205" s="36"/>
      <c r="D205" s="37"/>
      <c r="E205" s="5"/>
      <c r="F205" s="5"/>
      <c r="G205" s="5"/>
    </row>
    <row r="206" ht="15.75" customHeight="1">
      <c r="A206" s="35"/>
      <c r="B206" s="21"/>
      <c r="C206" s="36"/>
      <c r="D206" s="37"/>
      <c r="E206" s="5"/>
      <c r="F206" s="5"/>
      <c r="G206" s="5"/>
    </row>
    <row r="207" ht="15.75" customHeight="1">
      <c r="A207" s="35"/>
      <c r="B207" s="21"/>
      <c r="C207" s="36"/>
      <c r="D207" s="37"/>
      <c r="E207" s="5"/>
      <c r="F207" s="5"/>
      <c r="G207" s="5"/>
    </row>
    <row r="208" ht="15.75" customHeight="1">
      <c r="A208" s="35"/>
      <c r="B208" s="21"/>
      <c r="C208" s="36"/>
      <c r="D208" s="37"/>
      <c r="E208" s="5"/>
      <c r="F208" s="5"/>
      <c r="G208" s="5"/>
    </row>
    <row r="209" ht="15.75" customHeight="1">
      <c r="A209" s="35"/>
      <c r="B209" s="21"/>
      <c r="C209" s="36"/>
      <c r="D209" s="37"/>
      <c r="E209" s="5"/>
      <c r="F209" s="5"/>
      <c r="G209" s="5"/>
    </row>
    <row r="210" ht="15.75" customHeight="1">
      <c r="A210" s="35"/>
      <c r="B210" s="21"/>
      <c r="C210" s="36"/>
      <c r="D210" s="37"/>
      <c r="E210" s="5"/>
      <c r="F210" s="5"/>
      <c r="G210" s="5"/>
    </row>
    <row r="211" ht="15.75" customHeight="1">
      <c r="A211" s="35"/>
      <c r="B211" s="21"/>
      <c r="C211" s="36"/>
      <c r="D211" s="37"/>
      <c r="E211" s="5"/>
      <c r="F211" s="5"/>
      <c r="G211" s="5"/>
    </row>
    <row r="212" ht="15.75" customHeight="1">
      <c r="A212" s="35"/>
      <c r="B212" s="21"/>
      <c r="C212" s="36"/>
      <c r="D212" s="37"/>
      <c r="E212" s="5"/>
      <c r="F212" s="5"/>
      <c r="G212" s="5"/>
    </row>
    <row r="213" ht="15.75" customHeight="1">
      <c r="A213" s="35"/>
      <c r="B213" s="21"/>
      <c r="C213" s="36"/>
      <c r="D213" s="37"/>
      <c r="E213" s="5"/>
      <c r="F213" s="5"/>
      <c r="G213" s="5"/>
    </row>
    <row r="214" ht="15.75" customHeight="1">
      <c r="A214" s="35"/>
      <c r="B214" s="21"/>
      <c r="C214" s="36"/>
      <c r="D214" s="37"/>
      <c r="E214" s="5"/>
      <c r="F214" s="5"/>
      <c r="G214" s="5"/>
    </row>
    <row r="215" ht="15.75" customHeight="1">
      <c r="A215" s="35"/>
      <c r="B215" s="21"/>
      <c r="C215" s="36"/>
      <c r="D215" s="37"/>
      <c r="E215" s="5"/>
      <c r="F215" s="5"/>
      <c r="G215" s="5"/>
    </row>
    <row r="216" ht="15.75" customHeight="1">
      <c r="A216" s="35"/>
      <c r="B216" s="21"/>
      <c r="C216" s="36"/>
      <c r="D216" s="37"/>
      <c r="E216" s="5"/>
      <c r="F216" s="5"/>
      <c r="G216" s="5"/>
    </row>
    <row r="217" ht="15.75" customHeight="1">
      <c r="A217" s="35"/>
      <c r="B217" s="21"/>
      <c r="C217" s="36"/>
      <c r="D217" s="37"/>
      <c r="E217" s="5"/>
      <c r="F217" s="5"/>
      <c r="G217" s="5"/>
    </row>
    <row r="218" ht="15.75" customHeight="1">
      <c r="A218" s="35"/>
      <c r="B218" s="21"/>
      <c r="C218" s="36"/>
      <c r="D218" s="37"/>
      <c r="E218" s="5"/>
      <c r="F218" s="5"/>
      <c r="G218" s="5"/>
    </row>
    <row r="219" ht="15.75" customHeight="1">
      <c r="A219" s="35"/>
      <c r="B219" s="21"/>
      <c r="C219" s="36"/>
      <c r="D219" s="37"/>
      <c r="E219" s="5"/>
      <c r="F219" s="5"/>
      <c r="G219" s="5"/>
    </row>
    <row r="220" ht="15.75" customHeight="1">
      <c r="A220" s="35"/>
      <c r="B220" s="21"/>
      <c r="C220" s="36"/>
      <c r="D220" s="37"/>
      <c r="E220" s="5"/>
      <c r="F220" s="5"/>
      <c r="G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dataValidations>
    <dataValidation type="list" allowBlank="1" showErrorMessage="1" sqref="B4:B20">
      <formula1>'Diccionarios de Datos'!$A$19:$A$25</formula1>
    </dataValidation>
    <dataValidation type="list" allowBlank="1" showErrorMessage="1" sqref="C4:C20">
      <formula1>"Relevante,Neutral,Marginal"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0.75"/>
    <col customWidth="1" min="2" max="2" width="40.5"/>
    <col customWidth="1" min="3" max="3" width="13.13"/>
    <col customWidth="1" min="4" max="18" width="25.75"/>
    <col customWidth="1" min="19" max="19" width="35.88"/>
    <col customWidth="1" min="20" max="20" width="25.75"/>
    <col customWidth="1" min="22" max="37" width="1.88"/>
  </cols>
  <sheetData>
    <row r="1" ht="18.75" customHeight="1">
      <c r="A1" s="1"/>
      <c r="B1" s="7"/>
      <c r="C1" s="9"/>
      <c r="D1" s="11" t="s">
        <v>12</v>
      </c>
      <c r="P1" s="11"/>
      <c r="Q1" s="11"/>
      <c r="R1" s="11"/>
      <c r="S1" s="11"/>
      <c r="T1" s="11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ht="15.75" customHeight="1">
      <c r="A2" s="16" t="s">
        <v>33</v>
      </c>
      <c r="B2" s="16" t="s">
        <v>23</v>
      </c>
      <c r="C2" s="16" t="s">
        <v>25</v>
      </c>
      <c r="D2" s="17" t="str">
        <f>'Criterios Factibilidad'!D4</f>
        <v>¿Disponemos de las herramientas tecnicas para desarrollarlo?</v>
      </c>
      <c r="E2" s="17" t="str">
        <f>'Criterios Factibilidad'!D5</f>
        <v>¿La complejidad técnica es abordable con las tecnologías disponibles?</v>
      </c>
      <c r="F2" s="17" t="str">
        <f>'Criterios Factibilidad'!D6</f>
        <v>¿Existen herramientas, frameworks o APIs que faciliten el desarrollo?</v>
      </c>
      <c r="G2" s="17" t="str">
        <f>'Criterios Factibilidad'!D7</f>
        <v>¿El acceso y uso de los datos es permitido?</v>
      </c>
      <c r="H2" s="17" t="str">
        <f>'Criterios Factibilidad'!D8</f>
        <v>¿El equipo tiene la capacidad de organización y coordinación para desarrollar el proyecto?</v>
      </c>
      <c r="I2" s="17" t="str">
        <f>'Criterios Factibilidad'!D9</f>
        <v>¿Se cuenta con apoyo suficiente (docente guía, recursos, documentación)?</v>
      </c>
      <c r="J2" s="17" t="str">
        <f>'Criterios Factibilidad'!D10</f>
        <v>¿Los costos de herramientas (ej: servicios de IA, hosting) son accesibles?</v>
      </c>
      <c r="K2" s="17" t="str">
        <f>'Criterios Factibilidad'!D11</f>
        <v>¿La solución es usable y aporta valor real al usuario final (PYMES)?</v>
      </c>
      <c r="L2" s="17" t="str">
        <f>'Criterios Factibilidad'!D12</f>
        <v>¿El proyecto puede desarrollarse dentro del tiempo disponible?</v>
      </c>
      <c r="M2" s="17" t="str">
        <f>'Criterios Factibilidad'!D13</f>
        <v>¿El equipo puede adquirir los conocimientos necesarios dentro del tiempo disponible?</v>
      </c>
      <c r="N2" s="17" t="str">
        <f>'Criterios Factibilidad'!D14</f>
        <v>¿Existe una necesidad real del sistema?</v>
      </c>
      <c r="O2" s="17" t="str">
        <f>'Criterios Factibilidad'!D15</f>
        <v>¿Que tan independente de terceros? (Servicios Web, API's, Cloud, Servidores en la nube)</v>
      </c>
      <c r="P2" s="17" t="str">
        <f>'Criterios Factibilidad'!D16</f>
        <v>¿Qué tan factible será el escalamiento?</v>
      </c>
      <c r="Q2" s="17" t="str">
        <f>'Criterios Factibilidad'!D17</f>
        <v>¿Que tan segura es la iniciativa frente a vulnerabilidades o ataques?</v>
      </c>
      <c r="R2" s="17" t="str">
        <f>'Criterios Factibilidad'!D18</f>
        <v>¿El Proyecto tiene compatibilidad con distintos dispositivos (web, móvil, escritorio)?</v>
      </c>
      <c r="S2" s="17" t="str">
        <f>'Criterios Factibilidad'!D19</f>
        <v>El nivel de procesamiento requerido (ej: análisis de documentos, uso de IA) es manejable en términos de rendimiento y tiempos de respuesta?</v>
      </c>
      <c r="T2" s="17" t="str">
        <f>'Criterios Factibilidad'!D20</f>
        <v>¿La solución puede entregar resultados confiables para el usuario?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ht="15.75" customHeight="1">
      <c r="D3" s="17" t="str">
        <f>'Criterios Factibilidad'!B4</f>
        <v>Organizacional</v>
      </c>
      <c r="E3" s="17" t="str">
        <f>'Criterios Factibilidad'!B5</f>
        <v>Técnica</v>
      </c>
      <c r="F3" s="17" t="str">
        <f>'Criterios Factibilidad'!B6</f>
        <v>Técnica</v>
      </c>
      <c r="G3" s="17" t="str">
        <f>'Criterios Factibilidad'!B7</f>
        <v>Normativa/Legal</v>
      </c>
      <c r="H3" s="17" t="str">
        <f>'Criterios Factibilidad'!B8</f>
        <v>Organizacional</v>
      </c>
      <c r="I3" s="17" t="str">
        <f>'Criterios Factibilidad'!B9</f>
        <v>Organizacional</v>
      </c>
      <c r="J3" s="17" t="str">
        <f>'Criterios Factibilidad'!B10</f>
        <v>Financiera</v>
      </c>
      <c r="K3" s="17" t="str">
        <f>'Criterios Factibilidad'!B11</f>
        <v>Operacional</v>
      </c>
      <c r="L3" s="17" t="str">
        <f>'Criterios Factibilidad'!B12</f>
        <v>Técnica</v>
      </c>
      <c r="M3" s="17" t="str">
        <f>'Criterios Factibilidad'!B13</f>
        <v>Organizacional</v>
      </c>
      <c r="N3" s="17" t="str">
        <f>'Criterios Factibilidad'!B14</f>
        <v>Mercado</v>
      </c>
      <c r="O3" s="17" t="str">
        <f>'Criterios Factibilidad'!B15</f>
        <v>Técnica</v>
      </c>
      <c r="P3" s="17" t="str">
        <f>'Criterios Factibilidad'!B16</f>
        <v>Técnica</v>
      </c>
      <c r="Q3" s="17" t="str">
        <f>'Criterios Factibilidad'!B17</f>
        <v>Técnica</v>
      </c>
      <c r="R3" s="17" t="str">
        <f>'Criterios Factibilidad'!B18</f>
        <v>Técnica</v>
      </c>
      <c r="S3" s="17" t="str">
        <f>'Criterios Factibilidad'!B19</f>
        <v>Técnica</v>
      </c>
      <c r="T3" s="17" t="str">
        <f>'Criterios Factibilidad'!B20</f>
        <v>Técnica</v>
      </c>
      <c r="U3" s="40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9"/>
      <c r="AI3" s="9"/>
      <c r="AJ3" s="9"/>
      <c r="AK3" s="9"/>
      <c r="AL3" s="9"/>
      <c r="AM3" s="9"/>
    </row>
    <row r="4" ht="15.75" customHeight="1">
      <c r="D4" s="17" t="str">
        <f>'Criterios Factibilidad'!C4</f>
        <v>Relevante</v>
      </c>
      <c r="E4" s="17" t="str">
        <f>'Criterios Factibilidad'!C5</f>
        <v>Neutral</v>
      </c>
      <c r="F4" s="17" t="str">
        <f>'Criterios Factibilidad'!C6</f>
        <v>Relevante</v>
      </c>
      <c r="G4" s="17" t="str">
        <f>'Criterios Factibilidad'!C7</f>
        <v>Relevante</v>
      </c>
      <c r="H4" s="17" t="str">
        <f>'Criterios Factibilidad'!C8</f>
        <v>Relevante</v>
      </c>
      <c r="I4" s="17" t="str">
        <f>'Criterios Factibilidad'!C9</f>
        <v>Relevante</v>
      </c>
      <c r="J4" s="17" t="str">
        <f>'Criterios Factibilidad'!C10</f>
        <v>Relevante</v>
      </c>
      <c r="K4" s="17" t="str">
        <f>'Criterios Factibilidad'!C11</f>
        <v>Relevante</v>
      </c>
      <c r="L4" s="17" t="str">
        <f>'Criterios Factibilidad'!C12</f>
        <v>Neutral</v>
      </c>
      <c r="M4" s="17" t="str">
        <f>'Criterios Factibilidad'!C13</f>
        <v>Neutral</v>
      </c>
      <c r="N4" s="17" t="str">
        <f>'Criterios Factibilidad'!C14</f>
        <v>Relevante</v>
      </c>
      <c r="O4" s="17" t="str">
        <f>'Criterios Factibilidad'!C15</f>
        <v>Relevante</v>
      </c>
      <c r="P4" s="17" t="str">
        <f>'Criterios Factibilidad'!C16</f>
        <v>Neutral</v>
      </c>
      <c r="Q4" s="17" t="str">
        <f>'Criterios Factibilidad'!C17</f>
        <v>Marginal</v>
      </c>
      <c r="R4" s="17" t="str">
        <f>'Criterios Factibilidad'!C18</f>
        <v>Marginal</v>
      </c>
      <c r="S4" s="17" t="str">
        <f>'Criterios Factibilidad'!C19</f>
        <v>Relevante</v>
      </c>
      <c r="T4" s="17" t="str">
        <f>'Criterios Factibilidad'!C20</f>
        <v>Relevante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15.75" customHeight="1">
      <c r="A5" s="42" t="s">
        <v>108</v>
      </c>
      <c r="B5" s="43" t="s">
        <v>109</v>
      </c>
      <c r="C5" s="44">
        <f t="shared" ref="C5:C16" si="1">SUM(V5:AK5)</f>
        <v>113</v>
      </c>
      <c r="D5" s="45" t="s">
        <v>14</v>
      </c>
      <c r="E5" s="45" t="s">
        <v>14</v>
      </c>
      <c r="F5" s="45" t="s">
        <v>14</v>
      </c>
      <c r="G5" s="45" t="s">
        <v>14</v>
      </c>
      <c r="H5" s="45" t="s">
        <v>14</v>
      </c>
      <c r="I5" s="45" t="s">
        <v>14</v>
      </c>
      <c r="J5" s="45" t="s">
        <v>14</v>
      </c>
      <c r="K5" s="45" t="s">
        <v>10</v>
      </c>
      <c r="L5" s="45" t="s">
        <v>14</v>
      </c>
      <c r="M5" s="45" t="s">
        <v>14</v>
      </c>
      <c r="N5" s="45" t="s">
        <v>10</v>
      </c>
      <c r="O5" s="45" t="s">
        <v>14</v>
      </c>
      <c r="P5" s="45" t="s">
        <v>14</v>
      </c>
      <c r="Q5" s="45" t="s">
        <v>14</v>
      </c>
      <c r="R5" s="45" t="s">
        <v>10</v>
      </c>
      <c r="S5" s="45" t="s">
        <v>14</v>
      </c>
      <c r="T5" s="45" t="s">
        <v>14</v>
      </c>
      <c r="U5" s="46"/>
      <c r="V5" s="46">
        <f>MATCH(D5,'Diccionarios de Datos'!$E$2:$E$4,FALSE)*MATCH(D$4,'Diccionarios de Datos'!$F$2:$F$4,FALSE)</f>
        <v>9</v>
      </c>
      <c r="W5" s="46">
        <f>MATCH(E5,'Diccionarios de Datos'!$E$2:$E$4,FALSE)*MATCH(E$4,'Diccionarios de Datos'!$F$2:$F$4,FALSE)</f>
        <v>6</v>
      </c>
      <c r="X5" s="46">
        <f>MATCH(F5,'Diccionarios de Datos'!$E$2:$E$4,FALSE)*MATCH(F$4,'Diccionarios de Datos'!$F$2:$F$4,FALSE)</f>
        <v>9</v>
      </c>
      <c r="Y5" s="46">
        <f>MATCH(G5,'Diccionarios de Datos'!$E$2:$E$4,FALSE)*MATCH(G$4,'Diccionarios de Datos'!$F$2:$F$4,FALSE)</f>
        <v>9</v>
      </c>
      <c r="Z5" s="46">
        <f>MATCH(H5,'Diccionarios de Datos'!$E$2:$E$4,FALSE)*MATCH(H$4,'Diccionarios de Datos'!$F$2:$F$4,FALSE)</f>
        <v>9</v>
      </c>
      <c r="AA5" s="46">
        <f>MATCH(I5,'Diccionarios de Datos'!$E$2:$E$4,FALSE)*MATCH(I$4,'Diccionarios de Datos'!$F$2:$F$4,FALSE)</f>
        <v>9</v>
      </c>
      <c r="AB5" s="46">
        <f>MATCH(J5,'Diccionarios de Datos'!$E$2:$E$4,FALSE)*MATCH(J$4,'Diccionarios de Datos'!$F$2:$F$4,FALSE)</f>
        <v>9</v>
      </c>
      <c r="AC5" s="46">
        <f>MATCH(K5,'Diccionarios de Datos'!$E$2:$E$4,FALSE)*MATCH(K$4,'Diccionarios de Datos'!$F$2:$F$4,FALSE)</f>
        <v>6</v>
      </c>
      <c r="AD5" s="46">
        <f>MATCH(L5,'Diccionarios de Datos'!$E$2:$E$4,FALSE)*MATCH(L$4,'Diccionarios de Datos'!$F$2:$F$4,FALSE)</f>
        <v>6</v>
      </c>
      <c r="AE5" s="46">
        <f>MATCH(M5,'Diccionarios de Datos'!$E$2:$E$4,FALSE)*MATCH(M$4,'Diccionarios de Datos'!$F$2:$F$4,FALSE)</f>
        <v>6</v>
      </c>
      <c r="AF5" s="46">
        <f>MATCH(N5,'Diccionarios de Datos'!$E$2:$E$4,FALSE)*MATCH(N$4,'Diccionarios de Datos'!$F$2:$F$4,FALSE)</f>
        <v>6</v>
      </c>
      <c r="AG5" s="46">
        <f>MATCH(O5,'Diccionarios de Datos'!$E$2:$E$4,FALSE)*MATCH(O$4,'Diccionarios de Datos'!$F$2:$F$4,FALSE)</f>
        <v>9</v>
      </c>
      <c r="AH5" s="46">
        <f>MATCH(P5,'Diccionarios de Datos'!$E$2:$E$4,FALSE)*MATCH(P$4,'Diccionarios de Datos'!$F$2:$F$4,FALSE)</f>
        <v>6</v>
      </c>
      <c r="AI5" s="46">
        <f>MATCH(Q5,'Diccionarios de Datos'!$E$2:$E$4,FALSE)*MATCH(Q$4,'Diccionarios de Datos'!$F$2:$F$4,FALSE)</f>
        <v>3</v>
      </c>
      <c r="AJ5" s="46">
        <f>MATCH(R5,'Diccionarios de Datos'!$E$2:$E$4,FALSE)*MATCH(R$4,'Diccionarios de Datos'!$F$2:$F$4,FALSE)</f>
        <v>2</v>
      </c>
      <c r="AK5" s="46">
        <f>MATCH(S5,'Diccionarios de Datos'!$E$2:$E$4,FALSE)*MATCH(S$4,'Diccionarios de Datos'!$F$2:$F$4,FALSE)</f>
        <v>9</v>
      </c>
      <c r="AL5" s="46"/>
      <c r="AM5" s="46"/>
    </row>
    <row r="6" ht="15.75" customHeight="1">
      <c r="A6" s="42" t="s">
        <v>110</v>
      </c>
      <c r="B6" s="43" t="s">
        <v>111</v>
      </c>
      <c r="C6" s="44">
        <f t="shared" si="1"/>
        <v>114</v>
      </c>
      <c r="D6" s="45" t="s">
        <v>14</v>
      </c>
      <c r="E6" s="45" t="s">
        <v>14</v>
      </c>
      <c r="F6" s="45" t="s">
        <v>14</v>
      </c>
      <c r="G6" s="45" t="s">
        <v>14</v>
      </c>
      <c r="H6" s="45" t="s">
        <v>14</v>
      </c>
      <c r="I6" s="45" t="s">
        <v>14</v>
      </c>
      <c r="J6" s="45" t="s">
        <v>14</v>
      </c>
      <c r="K6" s="45" t="s">
        <v>14</v>
      </c>
      <c r="L6" s="45" t="s">
        <v>14</v>
      </c>
      <c r="M6" s="45" t="s">
        <v>10</v>
      </c>
      <c r="N6" s="45" t="s">
        <v>10</v>
      </c>
      <c r="O6" s="45" t="s">
        <v>14</v>
      </c>
      <c r="P6" s="45" t="s">
        <v>14</v>
      </c>
      <c r="Q6" s="45" t="s">
        <v>14</v>
      </c>
      <c r="R6" s="45" t="s">
        <v>10</v>
      </c>
      <c r="S6" s="45" t="s">
        <v>14</v>
      </c>
      <c r="T6" s="45" t="s">
        <v>14</v>
      </c>
      <c r="U6" s="46"/>
      <c r="V6" s="46">
        <f>MATCH(D6,'Diccionarios de Datos'!$E$2:$E$4,FALSE)*MATCH(D$4,'Diccionarios de Datos'!$F$2:$F$4,FALSE)</f>
        <v>9</v>
      </c>
      <c r="W6" s="46">
        <f>MATCH(E6,'Diccionarios de Datos'!$E$2:$E$4,FALSE)*MATCH(E$4,'Diccionarios de Datos'!$F$2:$F$4,FALSE)</f>
        <v>6</v>
      </c>
      <c r="X6" s="46">
        <f>MATCH(F6,'Diccionarios de Datos'!$E$2:$E$4,FALSE)*MATCH(F$4,'Diccionarios de Datos'!$F$2:$F$4,FALSE)</f>
        <v>9</v>
      </c>
      <c r="Y6" s="46">
        <f>MATCH(G6,'Diccionarios de Datos'!$E$2:$E$4,FALSE)*MATCH(G$4,'Diccionarios de Datos'!$F$2:$F$4,FALSE)</f>
        <v>9</v>
      </c>
      <c r="Z6" s="46">
        <f>MATCH(H6,'Diccionarios de Datos'!$E$2:$E$4,FALSE)*MATCH(H$4,'Diccionarios de Datos'!$F$2:$F$4,FALSE)</f>
        <v>9</v>
      </c>
      <c r="AA6" s="46">
        <f>MATCH(I6,'Diccionarios de Datos'!$E$2:$E$4,FALSE)*MATCH(I$4,'Diccionarios de Datos'!$F$2:$F$4,FALSE)</f>
        <v>9</v>
      </c>
      <c r="AB6" s="46">
        <f>MATCH(J6,'Diccionarios de Datos'!$E$2:$E$4,FALSE)*MATCH(J$4,'Diccionarios de Datos'!$F$2:$F$4,FALSE)</f>
        <v>9</v>
      </c>
      <c r="AC6" s="46">
        <f>MATCH(K6,'Diccionarios de Datos'!$E$2:$E$4,FALSE)*MATCH(K$4,'Diccionarios de Datos'!$F$2:$F$4,FALSE)</f>
        <v>9</v>
      </c>
      <c r="AD6" s="46">
        <f>MATCH(L6,'Diccionarios de Datos'!$E$2:$E$4,FALSE)*MATCH(L$4,'Diccionarios de Datos'!$F$2:$F$4,FALSE)</f>
        <v>6</v>
      </c>
      <c r="AE6" s="46">
        <f>MATCH(M6,'Diccionarios de Datos'!$E$2:$E$4,FALSE)*MATCH(M$4,'Diccionarios de Datos'!$F$2:$F$4,FALSE)</f>
        <v>4</v>
      </c>
      <c r="AF6" s="46">
        <f>MATCH(N6,'Diccionarios de Datos'!$E$2:$E$4,FALSE)*MATCH(N$4,'Diccionarios de Datos'!$F$2:$F$4,FALSE)</f>
        <v>6</v>
      </c>
      <c r="AG6" s="46">
        <f>MATCH(O6,'Diccionarios de Datos'!$E$2:$E$4,FALSE)*MATCH(O$4,'Diccionarios de Datos'!$F$2:$F$4,FALSE)</f>
        <v>9</v>
      </c>
      <c r="AH6" s="46">
        <f>MATCH(P6,'Diccionarios de Datos'!$E$2:$E$4,FALSE)*MATCH(P$4,'Diccionarios de Datos'!$F$2:$F$4,FALSE)</f>
        <v>6</v>
      </c>
      <c r="AI6" s="46">
        <f>MATCH(Q6,'Diccionarios de Datos'!$E$2:$E$4,FALSE)*MATCH(Q$4,'Diccionarios de Datos'!$F$2:$F$4,FALSE)</f>
        <v>3</v>
      </c>
      <c r="AJ6" s="46">
        <f>MATCH(R6,'Diccionarios de Datos'!$E$2:$E$4,FALSE)*MATCH(R$4,'Diccionarios de Datos'!$F$2:$F$4,FALSE)</f>
        <v>2</v>
      </c>
      <c r="AK6" s="46">
        <f>MATCH(S6,'Diccionarios de Datos'!$E$2:$E$4,FALSE)*MATCH(S$4,'Diccionarios de Datos'!$F$2:$F$4,FALSE)</f>
        <v>9</v>
      </c>
      <c r="AL6" s="46"/>
      <c r="AM6" s="46"/>
    </row>
    <row r="7" ht="15.75" customHeight="1">
      <c r="A7" s="42" t="s">
        <v>112</v>
      </c>
      <c r="B7" s="43" t="s">
        <v>113</v>
      </c>
      <c r="C7" s="44">
        <f t="shared" si="1"/>
        <v>113</v>
      </c>
      <c r="D7" s="47" t="s">
        <v>14</v>
      </c>
      <c r="E7" s="45" t="s">
        <v>14</v>
      </c>
      <c r="F7" s="45" t="s">
        <v>14</v>
      </c>
      <c r="G7" s="45" t="s">
        <v>14</v>
      </c>
      <c r="H7" s="45" t="s">
        <v>14</v>
      </c>
      <c r="I7" s="45" t="s">
        <v>14</v>
      </c>
      <c r="J7" s="45" t="s">
        <v>14</v>
      </c>
      <c r="K7" s="45" t="s">
        <v>14</v>
      </c>
      <c r="L7" s="45" t="s">
        <v>14</v>
      </c>
      <c r="M7" s="45" t="s">
        <v>6</v>
      </c>
      <c r="N7" s="45" t="s">
        <v>10</v>
      </c>
      <c r="O7" s="45" t="s">
        <v>14</v>
      </c>
      <c r="P7" s="45" t="s">
        <v>14</v>
      </c>
      <c r="Q7" s="45" t="s">
        <v>14</v>
      </c>
      <c r="R7" s="45" t="s">
        <v>14</v>
      </c>
      <c r="S7" s="45" t="s">
        <v>14</v>
      </c>
      <c r="T7" s="45" t="s">
        <v>14</v>
      </c>
      <c r="U7" s="46"/>
      <c r="V7" s="46">
        <f>MATCH(D7,'Diccionarios de Datos'!$E$2:$E$4,FALSE)*MATCH(D$4,'Diccionarios de Datos'!$F$2:$F$4,FALSE)</f>
        <v>9</v>
      </c>
      <c r="W7" s="46">
        <f>MATCH(E7,'Diccionarios de Datos'!$E$2:$E$4,FALSE)*MATCH(E$4,'Diccionarios de Datos'!$F$2:$F$4,FALSE)</f>
        <v>6</v>
      </c>
      <c r="X7" s="46">
        <f>MATCH(F7,'Diccionarios de Datos'!$E$2:$E$4,FALSE)*MATCH(F$4,'Diccionarios de Datos'!$F$2:$F$4,FALSE)</f>
        <v>9</v>
      </c>
      <c r="Y7" s="46">
        <f>MATCH(G7,'Diccionarios de Datos'!$E$2:$E$4,FALSE)*MATCH(G$4,'Diccionarios de Datos'!$F$2:$F$4,FALSE)</f>
        <v>9</v>
      </c>
      <c r="Z7" s="46">
        <f>MATCH(H7,'Diccionarios de Datos'!$E$2:$E$4,FALSE)*MATCH(H$4,'Diccionarios de Datos'!$F$2:$F$4,FALSE)</f>
        <v>9</v>
      </c>
      <c r="AA7" s="46">
        <f>MATCH(I7,'Diccionarios de Datos'!$E$2:$E$4,FALSE)*MATCH(I$4,'Diccionarios de Datos'!$F$2:$F$4,FALSE)</f>
        <v>9</v>
      </c>
      <c r="AB7" s="46">
        <f>MATCH(J7,'Diccionarios de Datos'!$E$2:$E$4,FALSE)*MATCH(J$4,'Diccionarios de Datos'!$F$2:$F$4,FALSE)</f>
        <v>9</v>
      </c>
      <c r="AC7" s="46">
        <f>MATCH(K7,'Diccionarios de Datos'!$E$2:$E$4,FALSE)*MATCH(K$4,'Diccionarios de Datos'!$F$2:$F$4,FALSE)</f>
        <v>9</v>
      </c>
      <c r="AD7" s="46">
        <f>MATCH(L7,'Diccionarios de Datos'!$E$2:$E$4,FALSE)*MATCH(L$4,'Diccionarios de Datos'!$F$2:$F$4,FALSE)</f>
        <v>6</v>
      </c>
      <c r="AE7" s="46">
        <f>MATCH(M7,'Diccionarios de Datos'!$E$2:$E$4,FALSE)*MATCH(M$4,'Diccionarios de Datos'!$F$2:$F$4,FALSE)</f>
        <v>2</v>
      </c>
      <c r="AF7" s="46">
        <f>MATCH(N7,'Diccionarios de Datos'!$E$2:$E$4,FALSE)*MATCH(N$4,'Diccionarios de Datos'!$F$2:$F$4,FALSE)</f>
        <v>6</v>
      </c>
      <c r="AG7" s="46">
        <f>MATCH(O7,'Diccionarios de Datos'!$E$2:$E$4,FALSE)*MATCH(O$4,'Diccionarios de Datos'!$F$2:$F$4,FALSE)</f>
        <v>9</v>
      </c>
      <c r="AH7" s="46">
        <f>MATCH(P7,'Diccionarios de Datos'!$E$2:$E$4,FALSE)*MATCH(P$4,'Diccionarios de Datos'!$F$2:$F$4,FALSE)</f>
        <v>6</v>
      </c>
      <c r="AI7" s="46">
        <f>MATCH(Q7,'Diccionarios de Datos'!$E$2:$E$4,FALSE)*MATCH(Q$4,'Diccionarios de Datos'!$F$2:$F$4,FALSE)</f>
        <v>3</v>
      </c>
      <c r="AJ7" s="46">
        <f>MATCH(R7,'Diccionarios de Datos'!$E$2:$E$4,FALSE)*MATCH(R$4,'Diccionarios de Datos'!$F$2:$F$4,FALSE)</f>
        <v>3</v>
      </c>
      <c r="AK7" s="46">
        <f>MATCH(S7,'Diccionarios de Datos'!$E$2:$E$4,FALSE)*MATCH(S$4,'Diccionarios de Datos'!$F$2:$F$4,FALSE)</f>
        <v>9</v>
      </c>
      <c r="AL7" s="46"/>
      <c r="AM7" s="46"/>
    </row>
    <row r="8" ht="15.75" customHeight="1">
      <c r="A8" s="42" t="s">
        <v>114</v>
      </c>
      <c r="B8" s="43" t="s">
        <v>115</v>
      </c>
      <c r="C8" s="44">
        <f t="shared" si="1"/>
        <v>85</v>
      </c>
      <c r="D8" s="45" t="s">
        <v>6</v>
      </c>
      <c r="E8" s="45" t="s">
        <v>14</v>
      </c>
      <c r="F8" s="45" t="s">
        <v>14</v>
      </c>
      <c r="G8" s="45" t="s">
        <v>14</v>
      </c>
      <c r="H8" s="45" t="s">
        <v>14</v>
      </c>
      <c r="I8" s="45" t="s">
        <v>10</v>
      </c>
      <c r="J8" s="45" t="s">
        <v>10</v>
      </c>
      <c r="K8" s="45" t="s">
        <v>10</v>
      </c>
      <c r="L8" s="45" t="s">
        <v>10</v>
      </c>
      <c r="M8" s="45" t="s">
        <v>10</v>
      </c>
      <c r="N8" s="45" t="s">
        <v>10</v>
      </c>
      <c r="O8" s="45" t="s">
        <v>10</v>
      </c>
      <c r="P8" s="45" t="s">
        <v>10</v>
      </c>
      <c r="Q8" s="45" t="s">
        <v>14</v>
      </c>
      <c r="R8" s="45" t="s">
        <v>6</v>
      </c>
      <c r="S8" s="45" t="s">
        <v>6</v>
      </c>
      <c r="T8" s="45" t="s">
        <v>10</v>
      </c>
      <c r="U8" s="46"/>
      <c r="V8" s="46">
        <f>MATCH(D8,'Diccionarios de Datos'!$E$2:$E$4,FALSE)*MATCH(D$4,'Diccionarios de Datos'!$F$2:$F$4,FALSE)</f>
        <v>3</v>
      </c>
      <c r="W8" s="46">
        <f>MATCH(E8,'Diccionarios de Datos'!$E$2:$E$4,FALSE)*MATCH(E$4,'Diccionarios de Datos'!$F$2:$F$4,FALSE)</f>
        <v>6</v>
      </c>
      <c r="X8" s="46">
        <f>MATCH(F8,'Diccionarios de Datos'!$E$2:$E$4,FALSE)*MATCH(F$4,'Diccionarios de Datos'!$F$2:$F$4,FALSE)</f>
        <v>9</v>
      </c>
      <c r="Y8" s="46">
        <f>MATCH(G8,'Diccionarios de Datos'!$E$2:$E$4,FALSE)*MATCH(G$4,'Diccionarios de Datos'!$F$2:$F$4,FALSE)</f>
        <v>9</v>
      </c>
      <c r="Z8" s="46">
        <f>MATCH(H8,'Diccionarios de Datos'!$E$2:$E$4,FALSE)*MATCH(H$4,'Diccionarios de Datos'!$F$2:$F$4,FALSE)</f>
        <v>9</v>
      </c>
      <c r="AA8" s="46">
        <f>MATCH(I8,'Diccionarios de Datos'!$E$2:$E$4,FALSE)*MATCH(I$4,'Diccionarios de Datos'!$F$2:$F$4,FALSE)</f>
        <v>6</v>
      </c>
      <c r="AB8" s="46">
        <f>MATCH(J8,'Diccionarios de Datos'!$E$2:$E$4,FALSE)*MATCH(J$4,'Diccionarios de Datos'!$F$2:$F$4,FALSE)</f>
        <v>6</v>
      </c>
      <c r="AC8" s="46">
        <f>MATCH(K8,'Diccionarios de Datos'!$E$2:$E$4,FALSE)*MATCH(K$4,'Diccionarios de Datos'!$F$2:$F$4,FALSE)</f>
        <v>6</v>
      </c>
      <c r="AD8" s="46">
        <f>MATCH(L8,'Diccionarios de Datos'!$E$2:$E$4,FALSE)*MATCH(L$4,'Diccionarios de Datos'!$F$2:$F$4,FALSE)</f>
        <v>4</v>
      </c>
      <c r="AE8" s="46">
        <f>MATCH(M8,'Diccionarios de Datos'!$E$2:$E$4,FALSE)*MATCH(M$4,'Diccionarios de Datos'!$F$2:$F$4,FALSE)</f>
        <v>4</v>
      </c>
      <c r="AF8" s="46">
        <f>MATCH(N8,'Diccionarios de Datos'!$E$2:$E$4,FALSE)*MATCH(N$4,'Diccionarios de Datos'!$F$2:$F$4,FALSE)</f>
        <v>6</v>
      </c>
      <c r="AG8" s="46">
        <f>MATCH(O8,'Diccionarios de Datos'!$E$2:$E$4,FALSE)*MATCH(O$4,'Diccionarios de Datos'!$F$2:$F$4,FALSE)</f>
        <v>6</v>
      </c>
      <c r="AH8" s="46">
        <f>MATCH(P8,'Diccionarios de Datos'!$E$2:$E$4,FALSE)*MATCH(P$4,'Diccionarios de Datos'!$F$2:$F$4,FALSE)</f>
        <v>4</v>
      </c>
      <c r="AI8" s="46">
        <f>MATCH(Q8,'Diccionarios de Datos'!$E$2:$E$4,FALSE)*MATCH(Q$4,'Diccionarios de Datos'!$F$2:$F$4,FALSE)</f>
        <v>3</v>
      </c>
      <c r="AJ8" s="46">
        <f>MATCH(R8,'Diccionarios de Datos'!$E$2:$E$4,FALSE)*MATCH(R$4,'Diccionarios de Datos'!$F$2:$F$4,FALSE)</f>
        <v>1</v>
      </c>
      <c r="AK8" s="46">
        <f>MATCH(S8,'Diccionarios de Datos'!$E$2:$E$4,FALSE)*MATCH(S$4,'Diccionarios de Datos'!$F$2:$F$4,FALSE)</f>
        <v>3</v>
      </c>
      <c r="AL8" s="46"/>
      <c r="AM8" s="46"/>
    </row>
    <row r="9" ht="15.75" customHeight="1">
      <c r="A9" s="42" t="s">
        <v>116</v>
      </c>
      <c r="B9" s="43" t="s">
        <v>117</v>
      </c>
      <c r="C9" s="44">
        <f t="shared" si="1"/>
        <v>109</v>
      </c>
      <c r="D9" s="45" t="s">
        <v>14</v>
      </c>
      <c r="E9" s="45" t="s">
        <v>14</v>
      </c>
      <c r="F9" s="45" t="s">
        <v>14</v>
      </c>
      <c r="G9" s="45" t="s">
        <v>14</v>
      </c>
      <c r="H9" s="45" t="s">
        <v>14</v>
      </c>
      <c r="I9" s="45" t="s">
        <v>14</v>
      </c>
      <c r="J9" s="45" t="s">
        <v>10</v>
      </c>
      <c r="K9" s="45" t="s">
        <v>14</v>
      </c>
      <c r="L9" s="45" t="s">
        <v>14</v>
      </c>
      <c r="M9" s="45" t="s">
        <v>14</v>
      </c>
      <c r="N9" s="45" t="s">
        <v>10</v>
      </c>
      <c r="O9" s="45" t="s">
        <v>10</v>
      </c>
      <c r="P9" s="45" t="s">
        <v>14</v>
      </c>
      <c r="Q9" s="45" t="s">
        <v>10</v>
      </c>
      <c r="R9" s="45" t="s">
        <v>10</v>
      </c>
      <c r="S9" s="45" t="s">
        <v>14</v>
      </c>
      <c r="T9" s="45" t="s">
        <v>14</v>
      </c>
      <c r="U9" s="46"/>
      <c r="V9" s="46">
        <f>MATCH(D9,'Diccionarios de Datos'!$E$2:$E$4,FALSE)*MATCH(D$4,'Diccionarios de Datos'!$F$2:$F$4,FALSE)</f>
        <v>9</v>
      </c>
      <c r="W9" s="46">
        <f>MATCH(E9,'Diccionarios de Datos'!$E$2:$E$4,FALSE)*MATCH(E$4,'Diccionarios de Datos'!$F$2:$F$4,FALSE)</f>
        <v>6</v>
      </c>
      <c r="X9" s="46">
        <f>MATCH(F9,'Diccionarios de Datos'!$E$2:$E$4,FALSE)*MATCH(F$4,'Diccionarios de Datos'!$F$2:$F$4,FALSE)</f>
        <v>9</v>
      </c>
      <c r="Y9" s="46">
        <f>MATCH(G9,'Diccionarios de Datos'!$E$2:$E$4,FALSE)*MATCH(G$4,'Diccionarios de Datos'!$F$2:$F$4,FALSE)</f>
        <v>9</v>
      </c>
      <c r="Z9" s="46">
        <f>MATCH(H9,'Diccionarios de Datos'!$E$2:$E$4,FALSE)*MATCH(H$4,'Diccionarios de Datos'!$F$2:$F$4,FALSE)</f>
        <v>9</v>
      </c>
      <c r="AA9" s="46">
        <f>MATCH(I9,'Diccionarios de Datos'!$E$2:$E$4,FALSE)*MATCH(I$4,'Diccionarios de Datos'!$F$2:$F$4,FALSE)</f>
        <v>9</v>
      </c>
      <c r="AB9" s="46">
        <f>MATCH(J9,'Diccionarios de Datos'!$E$2:$E$4,FALSE)*MATCH(J$4,'Diccionarios de Datos'!$F$2:$F$4,FALSE)</f>
        <v>6</v>
      </c>
      <c r="AC9" s="46">
        <f>MATCH(K9,'Diccionarios de Datos'!$E$2:$E$4,FALSE)*MATCH(K$4,'Diccionarios de Datos'!$F$2:$F$4,FALSE)</f>
        <v>9</v>
      </c>
      <c r="AD9" s="46">
        <f>MATCH(L9,'Diccionarios de Datos'!$E$2:$E$4,FALSE)*MATCH(L$4,'Diccionarios de Datos'!$F$2:$F$4,FALSE)</f>
        <v>6</v>
      </c>
      <c r="AE9" s="46">
        <f>MATCH(M9,'Diccionarios de Datos'!$E$2:$E$4,FALSE)*MATCH(M$4,'Diccionarios de Datos'!$F$2:$F$4,FALSE)</f>
        <v>6</v>
      </c>
      <c r="AF9" s="46">
        <f>MATCH(N9,'Diccionarios de Datos'!$E$2:$E$4,FALSE)*MATCH(N$4,'Diccionarios de Datos'!$F$2:$F$4,FALSE)</f>
        <v>6</v>
      </c>
      <c r="AG9" s="46">
        <f>MATCH(O9,'Diccionarios de Datos'!$E$2:$E$4,FALSE)*MATCH(O$4,'Diccionarios de Datos'!$F$2:$F$4,FALSE)</f>
        <v>6</v>
      </c>
      <c r="AH9" s="46">
        <f>MATCH(P9,'Diccionarios de Datos'!$E$2:$E$4,FALSE)*MATCH(P$4,'Diccionarios de Datos'!$F$2:$F$4,FALSE)</f>
        <v>6</v>
      </c>
      <c r="AI9" s="46">
        <f>MATCH(Q9,'Diccionarios de Datos'!$E$2:$E$4,FALSE)*MATCH(Q$4,'Diccionarios de Datos'!$F$2:$F$4,FALSE)</f>
        <v>2</v>
      </c>
      <c r="AJ9" s="46">
        <f>MATCH(R9,'Diccionarios de Datos'!$E$2:$E$4,FALSE)*MATCH(R$4,'Diccionarios de Datos'!$F$2:$F$4,FALSE)</f>
        <v>2</v>
      </c>
      <c r="AK9" s="46">
        <f>MATCH(S9,'Diccionarios de Datos'!$E$2:$E$4,FALSE)*MATCH(S$4,'Diccionarios de Datos'!$F$2:$F$4,FALSE)</f>
        <v>9</v>
      </c>
      <c r="AL9" s="46"/>
      <c r="AM9" s="46"/>
    </row>
    <row r="10" ht="15.75" customHeight="1">
      <c r="A10" s="42" t="s">
        <v>118</v>
      </c>
      <c r="B10" s="43" t="s">
        <v>119</v>
      </c>
      <c r="C10" s="44">
        <f t="shared" si="1"/>
        <v>83</v>
      </c>
      <c r="D10" s="45" t="s">
        <v>10</v>
      </c>
      <c r="E10" s="45" t="s">
        <v>10</v>
      </c>
      <c r="F10" s="45" t="s">
        <v>14</v>
      </c>
      <c r="G10" s="45" t="s">
        <v>14</v>
      </c>
      <c r="H10" s="45" t="s">
        <v>10</v>
      </c>
      <c r="I10" s="45" t="s">
        <v>10</v>
      </c>
      <c r="J10" s="45" t="s">
        <v>10</v>
      </c>
      <c r="K10" s="45" t="s">
        <v>10</v>
      </c>
      <c r="L10" s="45" t="s">
        <v>10</v>
      </c>
      <c r="M10" s="45" t="s">
        <v>10</v>
      </c>
      <c r="N10" s="45" t="s">
        <v>10</v>
      </c>
      <c r="O10" s="45" t="s">
        <v>10</v>
      </c>
      <c r="P10" s="45" t="s">
        <v>10</v>
      </c>
      <c r="Q10" s="45" t="s">
        <v>14</v>
      </c>
      <c r="R10" s="45" t="s">
        <v>6</v>
      </c>
      <c r="S10" s="45" t="s">
        <v>6</v>
      </c>
      <c r="T10" s="45" t="s">
        <v>14</v>
      </c>
      <c r="U10" s="46"/>
      <c r="V10" s="46">
        <f>MATCH(D10,'Diccionarios de Datos'!$E$2:$E$4,FALSE)*MATCH(D$4,'Diccionarios de Datos'!$F$2:$F$4,FALSE)</f>
        <v>6</v>
      </c>
      <c r="W10" s="46">
        <f>MATCH(E10,'Diccionarios de Datos'!$E$2:$E$4,FALSE)*MATCH(E$4,'Diccionarios de Datos'!$F$2:$F$4,FALSE)</f>
        <v>4</v>
      </c>
      <c r="X10" s="46">
        <f>MATCH(F10,'Diccionarios de Datos'!$E$2:$E$4,FALSE)*MATCH(F$4,'Diccionarios de Datos'!$F$2:$F$4,FALSE)</f>
        <v>9</v>
      </c>
      <c r="Y10" s="46">
        <f>MATCH(G10,'Diccionarios de Datos'!$E$2:$E$4,FALSE)*MATCH(G$4,'Diccionarios de Datos'!$F$2:$F$4,FALSE)</f>
        <v>9</v>
      </c>
      <c r="Z10" s="46">
        <f>MATCH(H10,'Diccionarios de Datos'!$E$2:$E$4,FALSE)*MATCH(H$4,'Diccionarios de Datos'!$F$2:$F$4,FALSE)</f>
        <v>6</v>
      </c>
      <c r="AA10" s="46">
        <f>MATCH(I10,'Diccionarios de Datos'!$E$2:$E$4,FALSE)*MATCH(I$4,'Diccionarios de Datos'!$F$2:$F$4,FALSE)</f>
        <v>6</v>
      </c>
      <c r="AB10" s="46">
        <f>MATCH(J10,'Diccionarios de Datos'!$E$2:$E$4,FALSE)*MATCH(J$4,'Diccionarios de Datos'!$F$2:$F$4,FALSE)</f>
        <v>6</v>
      </c>
      <c r="AC10" s="46">
        <f>MATCH(K10,'Diccionarios de Datos'!$E$2:$E$4,FALSE)*MATCH(K$4,'Diccionarios de Datos'!$F$2:$F$4,FALSE)</f>
        <v>6</v>
      </c>
      <c r="AD10" s="46">
        <f>MATCH(L10,'Diccionarios de Datos'!$E$2:$E$4,FALSE)*MATCH(L$4,'Diccionarios de Datos'!$F$2:$F$4,FALSE)</f>
        <v>4</v>
      </c>
      <c r="AE10" s="46">
        <f>MATCH(M10,'Diccionarios de Datos'!$E$2:$E$4,FALSE)*MATCH(M$4,'Diccionarios de Datos'!$F$2:$F$4,FALSE)</f>
        <v>4</v>
      </c>
      <c r="AF10" s="46">
        <f>MATCH(N10,'Diccionarios de Datos'!$E$2:$E$4,FALSE)*MATCH(N$4,'Diccionarios de Datos'!$F$2:$F$4,FALSE)</f>
        <v>6</v>
      </c>
      <c r="AG10" s="46">
        <f>MATCH(O10,'Diccionarios de Datos'!$E$2:$E$4,FALSE)*MATCH(O$4,'Diccionarios de Datos'!$F$2:$F$4,FALSE)</f>
        <v>6</v>
      </c>
      <c r="AH10" s="46">
        <f>MATCH(P10,'Diccionarios de Datos'!$E$2:$E$4,FALSE)*MATCH(P$4,'Diccionarios de Datos'!$F$2:$F$4,FALSE)</f>
        <v>4</v>
      </c>
      <c r="AI10" s="46">
        <f>MATCH(Q10,'Diccionarios de Datos'!$E$2:$E$4,FALSE)*MATCH(Q$4,'Diccionarios de Datos'!$F$2:$F$4,FALSE)</f>
        <v>3</v>
      </c>
      <c r="AJ10" s="46">
        <f>MATCH(R10,'Diccionarios de Datos'!$E$2:$E$4,FALSE)*MATCH(R$4,'Diccionarios de Datos'!$F$2:$F$4,FALSE)</f>
        <v>1</v>
      </c>
      <c r="AK10" s="46">
        <f>MATCH(S10,'Diccionarios de Datos'!$E$2:$E$4,FALSE)*MATCH(S$4,'Diccionarios de Datos'!$F$2:$F$4,FALSE)</f>
        <v>3</v>
      </c>
      <c r="AL10" s="46"/>
      <c r="AM10" s="46"/>
    </row>
    <row r="11" ht="15.75" customHeight="1">
      <c r="A11" s="42" t="s">
        <v>120</v>
      </c>
      <c r="B11" s="43" t="s">
        <v>121</v>
      </c>
      <c r="C11" s="44">
        <f t="shared" si="1"/>
        <v>84</v>
      </c>
      <c r="D11" s="45" t="s">
        <v>10</v>
      </c>
      <c r="E11" s="45" t="s">
        <v>10</v>
      </c>
      <c r="F11" s="45" t="s">
        <v>14</v>
      </c>
      <c r="G11" s="45" t="s">
        <v>14</v>
      </c>
      <c r="H11" s="45" t="s">
        <v>10</v>
      </c>
      <c r="I11" s="45" t="s">
        <v>10</v>
      </c>
      <c r="J11" s="45" t="s">
        <v>10</v>
      </c>
      <c r="K11" s="45" t="s">
        <v>10</v>
      </c>
      <c r="L11" s="45" t="s">
        <v>10</v>
      </c>
      <c r="M11" s="45" t="s">
        <v>10</v>
      </c>
      <c r="N11" s="45" t="s">
        <v>10</v>
      </c>
      <c r="O11" s="45" t="s">
        <v>10</v>
      </c>
      <c r="P11" s="45" t="s">
        <v>10</v>
      </c>
      <c r="Q11" s="45" t="s">
        <v>14</v>
      </c>
      <c r="R11" s="45" t="s">
        <v>10</v>
      </c>
      <c r="S11" s="45" t="s">
        <v>6</v>
      </c>
      <c r="T11" s="45" t="s">
        <v>10</v>
      </c>
      <c r="U11" s="46"/>
      <c r="V11" s="46">
        <f>MATCH(D11,'Diccionarios de Datos'!$E$2:$E$4,FALSE)*MATCH(D$4,'Diccionarios de Datos'!$F$2:$F$4,FALSE)</f>
        <v>6</v>
      </c>
      <c r="W11" s="46">
        <f>MATCH(E11,'Diccionarios de Datos'!$E$2:$E$4,FALSE)*MATCH(E$4,'Diccionarios de Datos'!$F$2:$F$4,FALSE)</f>
        <v>4</v>
      </c>
      <c r="X11" s="46">
        <f>MATCH(F11,'Diccionarios de Datos'!$E$2:$E$4,FALSE)*MATCH(F$4,'Diccionarios de Datos'!$F$2:$F$4,FALSE)</f>
        <v>9</v>
      </c>
      <c r="Y11" s="46">
        <f>MATCH(G11,'Diccionarios de Datos'!$E$2:$E$4,FALSE)*MATCH(G$4,'Diccionarios de Datos'!$F$2:$F$4,FALSE)</f>
        <v>9</v>
      </c>
      <c r="Z11" s="46">
        <f>MATCH(H11,'Diccionarios de Datos'!$E$2:$E$4,FALSE)*MATCH(H$4,'Diccionarios de Datos'!$F$2:$F$4,FALSE)</f>
        <v>6</v>
      </c>
      <c r="AA11" s="46">
        <f>MATCH(I11,'Diccionarios de Datos'!$E$2:$E$4,FALSE)*MATCH(I$4,'Diccionarios de Datos'!$F$2:$F$4,FALSE)</f>
        <v>6</v>
      </c>
      <c r="AB11" s="46">
        <f>MATCH(J11,'Diccionarios de Datos'!$E$2:$E$4,FALSE)*MATCH(J$4,'Diccionarios de Datos'!$F$2:$F$4,FALSE)</f>
        <v>6</v>
      </c>
      <c r="AC11" s="46">
        <f>MATCH(K11,'Diccionarios de Datos'!$E$2:$E$4,FALSE)*MATCH(K$4,'Diccionarios de Datos'!$F$2:$F$4,FALSE)</f>
        <v>6</v>
      </c>
      <c r="AD11" s="46">
        <f>MATCH(L11,'Diccionarios de Datos'!$E$2:$E$4,FALSE)*MATCH(L$4,'Diccionarios de Datos'!$F$2:$F$4,FALSE)</f>
        <v>4</v>
      </c>
      <c r="AE11" s="46">
        <f>MATCH(M11,'Diccionarios de Datos'!$E$2:$E$4,FALSE)*MATCH(M$4,'Diccionarios de Datos'!$F$2:$F$4,FALSE)</f>
        <v>4</v>
      </c>
      <c r="AF11" s="46">
        <f>MATCH(N11,'Diccionarios de Datos'!$E$2:$E$4,FALSE)*MATCH(N$4,'Diccionarios de Datos'!$F$2:$F$4,FALSE)</f>
        <v>6</v>
      </c>
      <c r="AG11" s="46">
        <f>MATCH(O11,'Diccionarios de Datos'!$E$2:$E$4,FALSE)*MATCH(O$4,'Diccionarios de Datos'!$F$2:$F$4,FALSE)</f>
        <v>6</v>
      </c>
      <c r="AH11" s="46">
        <f>MATCH(P11,'Diccionarios de Datos'!$E$2:$E$4,FALSE)*MATCH(P$4,'Diccionarios de Datos'!$F$2:$F$4,FALSE)</f>
        <v>4</v>
      </c>
      <c r="AI11" s="46">
        <f>MATCH(Q11,'Diccionarios de Datos'!$E$2:$E$4,FALSE)*MATCH(Q$4,'Diccionarios de Datos'!$F$2:$F$4,FALSE)</f>
        <v>3</v>
      </c>
      <c r="AJ11" s="46">
        <f>MATCH(R11,'Diccionarios de Datos'!$E$2:$E$4,FALSE)*MATCH(R$4,'Diccionarios de Datos'!$F$2:$F$4,FALSE)</f>
        <v>2</v>
      </c>
      <c r="AK11" s="46">
        <f>MATCH(S11,'Diccionarios de Datos'!$E$2:$E$4,FALSE)*MATCH(S$4,'Diccionarios de Datos'!$F$2:$F$4,FALSE)</f>
        <v>3</v>
      </c>
      <c r="AL11" s="46"/>
      <c r="AM11" s="46"/>
    </row>
    <row r="12" ht="15.75" customHeight="1">
      <c r="A12" s="42" t="s">
        <v>122</v>
      </c>
      <c r="B12" s="43" t="s">
        <v>123</v>
      </c>
      <c r="C12" s="44">
        <f t="shared" si="1"/>
        <v>104</v>
      </c>
      <c r="D12" s="45" t="s">
        <v>10</v>
      </c>
      <c r="E12" s="45" t="s">
        <v>10</v>
      </c>
      <c r="F12" s="45" t="s">
        <v>14</v>
      </c>
      <c r="G12" s="45" t="s">
        <v>14</v>
      </c>
      <c r="H12" s="45" t="s">
        <v>14</v>
      </c>
      <c r="I12" s="45" t="s">
        <v>14</v>
      </c>
      <c r="J12" s="45" t="s">
        <v>10</v>
      </c>
      <c r="K12" s="45" t="s">
        <v>14</v>
      </c>
      <c r="L12" s="45" t="s">
        <v>14</v>
      </c>
      <c r="M12" s="45" t="s">
        <v>14</v>
      </c>
      <c r="N12" s="45" t="s">
        <v>14</v>
      </c>
      <c r="O12" s="45" t="s">
        <v>14</v>
      </c>
      <c r="P12" s="45" t="s">
        <v>14</v>
      </c>
      <c r="Q12" s="45" t="s">
        <v>10</v>
      </c>
      <c r="R12" s="45" t="s">
        <v>10</v>
      </c>
      <c r="S12" s="45" t="s">
        <v>6</v>
      </c>
      <c r="T12" s="45" t="s">
        <v>10</v>
      </c>
      <c r="U12" s="46"/>
      <c r="V12" s="46">
        <f>MATCH(D12,'Diccionarios de Datos'!$E$2:$E$4,FALSE)*MATCH(D$4,'Diccionarios de Datos'!$F$2:$F$4,FALSE)</f>
        <v>6</v>
      </c>
      <c r="W12" s="46">
        <f>MATCH(E12,'Diccionarios de Datos'!$E$2:$E$4,FALSE)*MATCH(E$4,'Diccionarios de Datos'!$F$2:$F$4,FALSE)</f>
        <v>4</v>
      </c>
      <c r="X12" s="46">
        <f>MATCH(F12,'Diccionarios de Datos'!$E$2:$E$4,FALSE)*MATCH(F$4,'Diccionarios de Datos'!$F$2:$F$4,FALSE)</f>
        <v>9</v>
      </c>
      <c r="Y12" s="46">
        <f>MATCH(G12,'Diccionarios de Datos'!$E$2:$E$4,FALSE)*MATCH(G$4,'Diccionarios de Datos'!$F$2:$F$4,FALSE)</f>
        <v>9</v>
      </c>
      <c r="Z12" s="46">
        <f>MATCH(H12,'Diccionarios de Datos'!$E$2:$E$4,FALSE)*MATCH(H$4,'Diccionarios de Datos'!$F$2:$F$4,FALSE)</f>
        <v>9</v>
      </c>
      <c r="AA12" s="46">
        <f>MATCH(I12,'Diccionarios de Datos'!$E$2:$E$4,FALSE)*MATCH(I$4,'Diccionarios de Datos'!$F$2:$F$4,FALSE)</f>
        <v>9</v>
      </c>
      <c r="AB12" s="46">
        <f>MATCH(J12,'Diccionarios de Datos'!$E$2:$E$4,FALSE)*MATCH(J$4,'Diccionarios de Datos'!$F$2:$F$4,FALSE)</f>
        <v>6</v>
      </c>
      <c r="AC12" s="46">
        <f>MATCH(K12,'Diccionarios de Datos'!$E$2:$E$4,FALSE)*MATCH(K$4,'Diccionarios de Datos'!$F$2:$F$4,FALSE)</f>
        <v>9</v>
      </c>
      <c r="AD12" s="46">
        <f>MATCH(L12,'Diccionarios de Datos'!$E$2:$E$4,FALSE)*MATCH(L$4,'Diccionarios de Datos'!$F$2:$F$4,FALSE)</f>
        <v>6</v>
      </c>
      <c r="AE12" s="46">
        <f>MATCH(M12,'Diccionarios de Datos'!$E$2:$E$4,FALSE)*MATCH(M$4,'Diccionarios de Datos'!$F$2:$F$4,FALSE)</f>
        <v>6</v>
      </c>
      <c r="AF12" s="46">
        <f>MATCH(N12,'Diccionarios de Datos'!$E$2:$E$4,FALSE)*MATCH(N$4,'Diccionarios de Datos'!$F$2:$F$4,FALSE)</f>
        <v>9</v>
      </c>
      <c r="AG12" s="46">
        <f>MATCH(O12,'Diccionarios de Datos'!$E$2:$E$4,FALSE)*MATCH(O$4,'Diccionarios de Datos'!$F$2:$F$4,FALSE)</f>
        <v>9</v>
      </c>
      <c r="AH12" s="46">
        <f>MATCH(P12,'Diccionarios de Datos'!$E$2:$E$4,FALSE)*MATCH(P$4,'Diccionarios de Datos'!$F$2:$F$4,FALSE)</f>
        <v>6</v>
      </c>
      <c r="AI12" s="46">
        <f>MATCH(Q12,'Diccionarios de Datos'!$E$2:$E$4,FALSE)*MATCH(Q$4,'Diccionarios de Datos'!$F$2:$F$4,FALSE)</f>
        <v>2</v>
      </c>
      <c r="AJ12" s="46">
        <f>MATCH(R12,'Diccionarios de Datos'!$E$2:$E$4,FALSE)*MATCH(R$4,'Diccionarios de Datos'!$F$2:$F$4,FALSE)</f>
        <v>2</v>
      </c>
      <c r="AK12" s="46">
        <f>MATCH(S12,'Diccionarios de Datos'!$E$2:$E$4,FALSE)*MATCH(S$4,'Diccionarios de Datos'!$F$2:$F$4,FALSE)</f>
        <v>3</v>
      </c>
      <c r="AL12" s="46"/>
      <c r="AM12" s="46"/>
    </row>
    <row r="13" ht="15.75" customHeight="1">
      <c r="A13" s="42" t="s">
        <v>124</v>
      </c>
      <c r="B13" s="43" t="s">
        <v>125</v>
      </c>
      <c r="C13" s="44">
        <f t="shared" si="1"/>
        <v>106</v>
      </c>
      <c r="D13" s="45" t="s">
        <v>10</v>
      </c>
      <c r="E13" s="45" t="s">
        <v>10</v>
      </c>
      <c r="F13" s="45" t="s">
        <v>14</v>
      </c>
      <c r="G13" s="45" t="s">
        <v>14</v>
      </c>
      <c r="H13" s="45" t="s">
        <v>14</v>
      </c>
      <c r="I13" s="45" t="s">
        <v>14</v>
      </c>
      <c r="J13" s="45" t="s">
        <v>14</v>
      </c>
      <c r="K13" s="45" t="s">
        <v>14</v>
      </c>
      <c r="L13" s="45" t="s">
        <v>14</v>
      </c>
      <c r="M13" s="45" t="s">
        <v>14</v>
      </c>
      <c r="N13" s="45" t="s">
        <v>14</v>
      </c>
      <c r="O13" s="45" t="s">
        <v>14</v>
      </c>
      <c r="P13" s="45" t="s">
        <v>14</v>
      </c>
      <c r="Q13" s="45" t="s">
        <v>10</v>
      </c>
      <c r="R13" s="45" t="s">
        <v>6</v>
      </c>
      <c r="S13" s="45" t="s">
        <v>6</v>
      </c>
      <c r="T13" s="45" t="s">
        <v>10</v>
      </c>
      <c r="U13" s="46"/>
      <c r="V13" s="46">
        <f>MATCH(D13,'Diccionarios de Datos'!$E$2:$E$4,FALSE)*MATCH(D$4,'Diccionarios de Datos'!$F$2:$F$4,FALSE)</f>
        <v>6</v>
      </c>
      <c r="W13" s="46">
        <f>MATCH(E13,'Diccionarios de Datos'!$E$2:$E$4,FALSE)*MATCH(E$4,'Diccionarios de Datos'!$F$2:$F$4,FALSE)</f>
        <v>4</v>
      </c>
      <c r="X13" s="46">
        <f>MATCH(F13,'Diccionarios de Datos'!$E$2:$E$4,FALSE)*MATCH(F$4,'Diccionarios de Datos'!$F$2:$F$4,FALSE)</f>
        <v>9</v>
      </c>
      <c r="Y13" s="46">
        <f>MATCH(G13,'Diccionarios de Datos'!$E$2:$E$4,FALSE)*MATCH(G$4,'Diccionarios de Datos'!$F$2:$F$4,FALSE)</f>
        <v>9</v>
      </c>
      <c r="Z13" s="46">
        <f>MATCH(H13,'Diccionarios de Datos'!$E$2:$E$4,FALSE)*MATCH(H$4,'Diccionarios de Datos'!$F$2:$F$4,FALSE)</f>
        <v>9</v>
      </c>
      <c r="AA13" s="46">
        <f>MATCH(I13,'Diccionarios de Datos'!$E$2:$E$4,FALSE)*MATCH(I$4,'Diccionarios de Datos'!$F$2:$F$4,FALSE)</f>
        <v>9</v>
      </c>
      <c r="AB13" s="46">
        <f>MATCH(J13,'Diccionarios de Datos'!$E$2:$E$4,FALSE)*MATCH(J$4,'Diccionarios de Datos'!$F$2:$F$4,FALSE)</f>
        <v>9</v>
      </c>
      <c r="AC13" s="46">
        <f>MATCH(K13,'Diccionarios de Datos'!$E$2:$E$4,FALSE)*MATCH(K$4,'Diccionarios de Datos'!$F$2:$F$4,FALSE)</f>
        <v>9</v>
      </c>
      <c r="AD13" s="46">
        <f>MATCH(L13,'Diccionarios de Datos'!$E$2:$E$4,FALSE)*MATCH(L$4,'Diccionarios de Datos'!$F$2:$F$4,FALSE)</f>
        <v>6</v>
      </c>
      <c r="AE13" s="46">
        <f>MATCH(M13,'Diccionarios de Datos'!$E$2:$E$4,FALSE)*MATCH(M$4,'Diccionarios de Datos'!$F$2:$F$4,FALSE)</f>
        <v>6</v>
      </c>
      <c r="AF13" s="46">
        <f>MATCH(N13,'Diccionarios de Datos'!$E$2:$E$4,FALSE)*MATCH(N$4,'Diccionarios de Datos'!$F$2:$F$4,FALSE)</f>
        <v>9</v>
      </c>
      <c r="AG13" s="46">
        <f>MATCH(O13,'Diccionarios de Datos'!$E$2:$E$4,FALSE)*MATCH(O$4,'Diccionarios de Datos'!$F$2:$F$4,FALSE)</f>
        <v>9</v>
      </c>
      <c r="AH13" s="46">
        <f>MATCH(P13,'Diccionarios de Datos'!$E$2:$E$4,FALSE)*MATCH(P$4,'Diccionarios de Datos'!$F$2:$F$4,FALSE)</f>
        <v>6</v>
      </c>
      <c r="AI13" s="46">
        <f>MATCH(Q13,'Diccionarios de Datos'!$E$2:$E$4,FALSE)*MATCH(Q$4,'Diccionarios de Datos'!$F$2:$F$4,FALSE)</f>
        <v>2</v>
      </c>
      <c r="AJ13" s="46">
        <f>MATCH(R13,'Diccionarios de Datos'!$E$2:$E$4,FALSE)*MATCH(R$4,'Diccionarios de Datos'!$F$2:$F$4,FALSE)</f>
        <v>1</v>
      </c>
      <c r="AK13" s="46">
        <f>MATCH(S13,'Diccionarios de Datos'!$E$2:$E$4,FALSE)*MATCH(S$4,'Diccionarios de Datos'!$F$2:$F$4,FALSE)</f>
        <v>3</v>
      </c>
      <c r="AL13" s="46"/>
      <c r="AM13" s="46"/>
    </row>
    <row r="14" ht="15.75" customHeight="1">
      <c r="A14" s="42" t="s">
        <v>126</v>
      </c>
      <c r="B14" s="43" t="s">
        <v>127</v>
      </c>
      <c r="C14" s="44">
        <f t="shared" si="1"/>
        <v>109</v>
      </c>
      <c r="D14" s="45" t="s">
        <v>14</v>
      </c>
      <c r="E14" s="45" t="s">
        <v>14</v>
      </c>
      <c r="F14" s="45" t="s">
        <v>14</v>
      </c>
      <c r="G14" s="45" t="s">
        <v>14</v>
      </c>
      <c r="H14" s="45" t="s">
        <v>14</v>
      </c>
      <c r="I14" s="45" t="s">
        <v>14</v>
      </c>
      <c r="J14" s="45" t="s">
        <v>10</v>
      </c>
      <c r="K14" s="45" t="s">
        <v>14</v>
      </c>
      <c r="L14" s="45" t="s">
        <v>14</v>
      </c>
      <c r="M14" s="45" t="s">
        <v>14</v>
      </c>
      <c r="N14" s="45" t="s">
        <v>14</v>
      </c>
      <c r="O14" s="45" t="s">
        <v>14</v>
      </c>
      <c r="P14" s="45" t="s">
        <v>14</v>
      </c>
      <c r="Q14" s="45" t="s">
        <v>10</v>
      </c>
      <c r="R14" s="45" t="s">
        <v>10</v>
      </c>
      <c r="S14" s="45" t="s">
        <v>6</v>
      </c>
      <c r="T14" s="45" t="s">
        <v>10</v>
      </c>
      <c r="U14" s="46"/>
      <c r="V14" s="46">
        <f>MATCH(D14,'Diccionarios de Datos'!$E$2:$E$4,FALSE)*MATCH(D$4,'Diccionarios de Datos'!$F$2:$F$4,FALSE)</f>
        <v>9</v>
      </c>
      <c r="W14" s="46">
        <f>MATCH(E14,'Diccionarios de Datos'!$E$2:$E$4,FALSE)*MATCH(E$4,'Diccionarios de Datos'!$F$2:$F$4,FALSE)</f>
        <v>6</v>
      </c>
      <c r="X14" s="46">
        <f>MATCH(F14,'Diccionarios de Datos'!$E$2:$E$4,FALSE)*MATCH(F$4,'Diccionarios de Datos'!$F$2:$F$4,FALSE)</f>
        <v>9</v>
      </c>
      <c r="Y14" s="46">
        <f>MATCH(G14,'Diccionarios de Datos'!$E$2:$E$4,FALSE)*MATCH(G$4,'Diccionarios de Datos'!$F$2:$F$4,FALSE)</f>
        <v>9</v>
      </c>
      <c r="Z14" s="46">
        <f>MATCH(H14,'Diccionarios de Datos'!$E$2:$E$4,FALSE)*MATCH(H$4,'Diccionarios de Datos'!$F$2:$F$4,FALSE)</f>
        <v>9</v>
      </c>
      <c r="AA14" s="46">
        <f>MATCH(I14,'Diccionarios de Datos'!$E$2:$E$4,FALSE)*MATCH(I$4,'Diccionarios de Datos'!$F$2:$F$4,FALSE)</f>
        <v>9</v>
      </c>
      <c r="AB14" s="46">
        <f>MATCH(J14,'Diccionarios de Datos'!$E$2:$E$4,FALSE)*MATCH(J$4,'Diccionarios de Datos'!$F$2:$F$4,FALSE)</f>
        <v>6</v>
      </c>
      <c r="AC14" s="46">
        <f>MATCH(K14,'Diccionarios de Datos'!$E$2:$E$4,FALSE)*MATCH(K$4,'Diccionarios de Datos'!$F$2:$F$4,FALSE)</f>
        <v>9</v>
      </c>
      <c r="AD14" s="46">
        <f>MATCH(L14,'Diccionarios de Datos'!$E$2:$E$4,FALSE)*MATCH(L$4,'Diccionarios de Datos'!$F$2:$F$4,FALSE)</f>
        <v>6</v>
      </c>
      <c r="AE14" s="46">
        <f>MATCH(M14,'Diccionarios de Datos'!$E$2:$E$4,FALSE)*MATCH(M$4,'Diccionarios de Datos'!$F$2:$F$4,FALSE)</f>
        <v>6</v>
      </c>
      <c r="AF14" s="46">
        <f>MATCH(N14,'Diccionarios de Datos'!$E$2:$E$4,FALSE)*MATCH(N$4,'Diccionarios de Datos'!$F$2:$F$4,FALSE)</f>
        <v>9</v>
      </c>
      <c r="AG14" s="46">
        <f>MATCH(O14,'Diccionarios de Datos'!$E$2:$E$4,FALSE)*MATCH(O$4,'Diccionarios de Datos'!$F$2:$F$4,FALSE)</f>
        <v>9</v>
      </c>
      <c r="AH14" s="46">
        <f>MATCH(P14,'Diccionarios de Datos'!$E$2:$E$4,FALSE)*MATCH(P$4,'Diccionarios de Datos'!$F$2:$F$4,FALSE)</f>
        <v>6</v>
      </c>
      <c r="AI14" s="46">
        <f>MATCH(Q14,'Diccionarios de Datos'!$E$2:$E$4,FALSE)*MATCH(Q$4,'Diccionarios de Datos'!$F$2:$F$4,FALSE)</f>
        <v>2</v>
      </c>
      <c r="AJ14" s="46">
        <f>MATCH(R14,'Diccionarios de Datos'!$E$2:$E$4,FALSE)*MATCH(R$4,'Diccionarios de Datos'!$F$2:$F$4,FALSE)</f>
        <v>2</v>
      </c>
      <c r="AK14" s="46">
        <f>MATCH(S14,'Diccionarios de Datos'!$E$2:$E$4,FALSE)*MATCH(S$4,'Diccionarios de Datos'!$F$2:$F$4,FALSE)</f>
        <v>3</v>
      </c>
      <c r="AL14" s="46"/>
      <c r="AM14" s="46"/>
    </row>
    <row r="15" ht="15.75" customHeight="1">
      <c r="A15" s="42" t="s">
        <v>128</v>
      </c>
      <c r="B15" s="43" t="s">
        <v>129</v>
      </c>
      <c r="C15" s="44">
        <f t="shared" si="1"/>
        <v>85</v>
      </c>
      <c r="D15" s="45" t="s">
        <v>6</v>
      </c>
      <c r="E15" s="45" t="s">
        <v>6</v>
      </c>
      <c r="F15" s="45" t="s">
        <v>14</v>
      </c>
      <c r="G15" s="45" t="s">
        <v>14</v>
      </c>
      <c r="H15" s="45" t="s">
        <v>10</v>
      </c>
      <c r="I15" s="45" t="s">
        <v>10</v>
      </c>
      <c r="J15" s="45" t="s">
        <v>6</v>
      </c>
      <c r="K15" s="45" t="s">
        <v>14</v>
      </c>
      <c r="L15" s="45" t="s">
        <v>6</v>
      </c>
      <c r="M15" s="45" t="s">
        <v>10</v>
      </c>
      <c r="N15" s="45" t="s">
        <v>14</v>
      </c>
      <c r="O15" s="45" t="s">
        <v>10</v>
      </c>
      <c r="P15" s="45" t="s">
        <v>10</v>
      </c>
      <c r="Q15" s="45" t="s">
        <v>10</v>
      </c>
      <c r="R15" s="45" t="s">
        <v>10</v>
      </c>
      <c r="S15" s="45" t="s">
        <v>14</v>
      </c>
      <c r="T15" s="45" t="s">
        <v>6</v>
      </c>
      <c r="U15" s="46"/>
      <c r="V15" s="46">
        <f>MATCH(D15,'Diccionarios de Datos'!$E$2:$E$4,FALSE)*MATCH(D$4,'Diccionarios de Datos'!$F$2:$F$4,FALSE)</f>
        <v>3</v>
      </c>
      <c r="W15" s="46">
        <f>MATCH(E15,'Diccionarios de Datos'!$E$2:$E$4,FALSE)*MATCH(E$4,'Diccionarios de Datos'!$F$2:$F$4,FALSE)</f>
        <v>2</v>
      </c>
      <c r="X15" s="46">
        <f>MATCH(F15,'Diccionarios de Datos'!$E$2:$E$4,FALSE)*MATCH(F$4,'Diccionarios de Datos'!$F$2:$F$4,FALSE)</f>
        <v>9</v>
      </c>
      <c r="Y15" s="46">
        <f>MATCH(G15,'Diccionarios de Datos'!$E$2:$E$4,FALSE)*MATCH(G$4,'Diccionarios de Datos'!$F$2:$F$4,FALSE)</f>
        <v>9</v>
      </c>
      <c r="Z15" s="46">
        <f>MATCH(H15,'Diccionarios de Datos'!$E$2:$E$4,FALSE)*MATCH(H$4,'Diccionarios de Datos'!$F$2:$F$4,FALSE)</f>
        <v>6</v>
      </c>
      <c r="AA15" s="46">
        <f>MATCH(I15,'Diccionarios de Datos'!$E$2:$E$4,FALSE)*MATCH(I$4,'Diccionarios de Datos'!$F$2:$F$4,FALSE)</f>
        <v>6</v>
      </c>
      <c r="AB15" s="46">
        <f>MATCH(J15,'Diccionarios de Datos'!$E$2:$E$4,FALSE)*MATCH(J$4,'Diccionarios de Datos'!$F$2:$F$4,FALSE)</f>
        <v>3</v>
      </c>
      <c r="AC15" s="46">
        <f>MATCH(K15,'Diccionarios de Datos'!$E$2:$E$4,FALSE)*MATCH(K$4,'Diccionarios de Datos'!$F$2:$F$4,FALSE)</f>
        <v>9</v>
      </c>
      <c r="AD15" s="46">
        <f>MATCH(L15,'Diccionarios de Datos'!$E$2:$E$4,FALSE)*MATCH(L$4,'Diccionarios de Datos'!$F$2:$F$4,FALSE)</f>
        <v>2</v>
      </c>
      <c r="AE15" s="46">
        <f>MATCH(M15,'Diccionarios de Datos'!$E$2:$E$4,FALSE)*MATCH(M$4,'Diccionarios de Datos'!$F$2:$F$4,FALSE)</f>
        <v>4</v>
      </c>
      <c r="AF15" s="46">
        <f>MATCH(N15,'Diccionarios de Datos'!$E$2:$E$4,FALSE)*MATCH(N$4,'Diccionarios de Datos'!$F$2:$F$4,FALSE)</f>
        <v>9</v>
      </c>
      <c r="AG15" s="46">
        <f>MATCH(O15,'Diccionarios de Datos'!$E$2:$E$4,FALSE)*MATCH(O$4,'Diccionarios de Datos'!$F$2:$F$4,FALSE)</f>
        <v>6</v>
      </c>
      <c r="AH15" s="46">
        <f>MATCH(P15,'Diccionarios de Datos'!$E$2:$E$4,FALSE)*MATCH(P$4,'Diccionarios de Datos'!$F$2:$F$4,FALSE)</f>
        <v>4</v>
      </c>
      <c r="AI15" s="46">
        <f>MATCH(Q15,'Diccionarios de Datos'!$E$2:$E$4,FALSE)*MATCH(Q$4,'Diccionarios de Datos'!$F$2:$F$4,FALSE)</f>
        <v>2</v>
      </c>
      <c r="AJ15" s="46">
        <f>MATCH(R15,'Diccionarios de Datos'!$E$2:$E$4,FALSE)*MATCH(R$4,'Diccionarios de Datos'!$F$2:$F$4,FALSE)</f>
        <v>2</v>
      </c>
      <c r="AK15" s="46">
        <f>MATCH(S15,'Diccionarios de Datos'!$E$2:$E$4,FALSE)*MATCH(S$4,'Diccionarios de Datos'!$F$2:$F$4,FALSE)</f>
        <v>9</v>
      </c>
      <c r="AL15" s="46"/>
      <c r="AM15" s="46"/>
    </row>
    <row r="16" ht="15.75" customHeight="1">
      <c r="A16" s="42" t="s">
        <v>130</v>
      </c>
      <c r="B16" s="43" t="s">
        <v>131</v>
      </c>
      <c r="C16" s="44">
        <f t="shared" si="1"/>
        <v>68</v>
      </c>
      <c r="D16" s="45" t="s">
        <v>6</v>
      </c>
      <c r="E16" s="45" t="s">
        <v>6</v>
      </c>
      <c r="F16" s="45" t="s">
        <v>10</v>
      </c>
      <c r="G16" s="45" t="s">
        <v>10</v>
      </c>
      <c r="H16" s="45" t="s">
        <v>10</v>
      </c>
      <c r="I16" s="45" t="s">
        <v>10</v>
      </c>
      <c r="J16" s="45" t="s">
        <v>6</v>
      </c>
      <c r="K16" s="45" t="s">
        <v>14</v>
      </c>
      <c r="L16" s="45" t="s">
        <v>6</v>
      </c>
      <c r="M16" s="45" t="s">
        <v>6</v>
      </c>
      <c r="N16" s="45" t="s">
        <v>14</v>
      </c>
      <c r="O16" s="45" t="s">
        <v>10</v>
      </c>
      <c r="P16" s="45" t="s">
        <v>6</v>
      </c>
      <c r="Q16" s="45" t="s">
        <v>6</v>
      </c>
      <c r="R16" s="45" t="s">
        <v>10</v>
      </c>
      <c r="S16" s="45" t="s">
        <v>6</v>
      </c>
      <c r="T16" s="45" t="s">
        <v>6</v>
      </c>
      <c r="U16" s="46"/>
      <c r="V16" s="46">
        <f>MATCH(D16,'Diccionarios de Datos'!$E$2:$E$4,FALSE)*MATCH(D$4,'Diccionarios de Datos'!$F$2:$F$4,FALSE)</f>
        <v>3</v>
      </c>
      <c r="W16" s="46">
        <f>MATCH(E16,'Diccionarios de Datos'!$E$2:$E$4,FALSE)*MATCH(E$4,'Diccionarios de Datos'!$F$2:$F$4,FALSE)</f>
        <v>2</v>
      </c>
      <c r="X16" s="46">
        <f>MATCH(F16,'Diccionarios de Datos'!$E$2:$E$4,FALSE)*MATCH(F$4,'Diccionarios de Datos'!$F$2:$F$4,FALSE)</f>
        <v>6</v>
      </c>
      <c r="Y16" s="46">
        <f>MATCH(G16,'Diccionarios de Datos'!$E$2:$E$4,FALSE)*MATCH(G$4,'Diccionarios de Datos'!$F$2:$F$4,FALSE)</f>
        <v>6</v>
      </c>
      <c r="Z16" s="46">
        <f>MATCH(H16,'Diccionarios de Datos'!$E$2:$E$4,FALSE)*MATCH(H$4,'Diccionarios de Datos'!$F$2:$F$4,FALSE)</f>
        <v>6</v>
      </c>
      <c r="AA16" s="46">
        <f>MATCH(I16,'Diccionarios de Datos'!$E$2:$E$4,FALSE)*MATCH(I$4,'Diccionarios de Datos'!$F$2:$F$4,FALSE)</f>
        <v>6</v>
      </c>
      <c r="AB16" s="46">
        <f>MATCH(J16,'Diccionarios de Datos'!$E$2:$E$4,FALSE)*MATCH(J$4,'Diccionarios de Datos'!$F$2:$F$4,FALSE)</f>
        <v>3</v>
      </c>
      <c r="AC16" s="46">
        <f>MATCH(K16,'Diccionarios de Datos'!$E$2:$E$4,FALSE)*MATCH(K$4,'Diccionarios de Datos'!$F$2:$F$4,FALSE)</f>
        <v>9</v>
      </c>
      <c r="AD16" s="46">
        <f>MATCH(L16,'Diccionarios de Datos'!$E$2:$E$4,FALSE)*MATCH(L$4,'Diccionarios de Datos'!$F$2:$F$4,FALSE)</f>
        <v>2</v>
      </c>
      <c r="AE16" s="46">
        <f>MATCH(M16,'Diccionarios de Datos'!$E$2:$E$4,FALSE)*MATCH(M$4,'Diccionarios de Datos'!$F$2:$F$4,FALSE)</f>
        <v>2</v>
      </c>
      <c r="AF16" s="46">
        <f>MATCH(N16,'Diccionarios de Datos'!$E$2:$E$4,FALSE)*MATCH(N$4,'Diccionarios de Datos'!$F$2:$F$4,FALSE)</f>
        <v>9</v>
      </c>
      <c r="AG16" s="46">
        <f>MATCH(O16,'Diccionarios de Datos'!$E$2:$E$4,FALSE)*MATCH(O$4,'Diccionarios de Datos'!$F$2:$F$4,FALSE)</f>
        <v>6</v>
      </c>
      <c r="AH16" s="46">
        <f>MATCH(P16,'Diccionarios de Datos'!$E$2:$E$4,FALSE)*MATCH(P$4,'Diccionarios de Datos'!$F$2:$F$4,FALSE)</f>
        <v>2</v>
      </c>
      <c r="AI16" s="46">
        <f>MATCH(Q16,'Diccionarios de Datos'!$E$2:$E$4,FALSE)*MATCH(Q$4,'Diccionarios de Datos'!$F$2:$F$4,FALSE)</f>
        <v>1</v>
      </c>
      <c r="AJ16" s="46">
        <f>MATCH(R16,'Diccionarios de Datos'!$E$2:$E$4,FALSE)*MATCH(R$4,'Diccionarios de Datos'!$F$2:$F$4,FALSE)</f>
        <v>2</v>
      </c>
      <c r="AK16" s="46">
        <f>MATCH(S16,'Diccionarios de Datos'!$E$2:$E$4,FALSE)*MATCH(S$4,'Diccionarios de Datos'!$F$2:$F$4,FALSE)</f>
        <v>3</v>
      </c>
      <c r="AL16" s="46"/>
      <c r="AM16" s="46"/>
    </row>
    <row r="17" ht="15.75" customHeight="1">
      <c r="A17" s="48"/>
      <c r="B17" s="46"/>
      <c r="C17" s="41"/>
      <c r="S17" s="46"/>
      <c r="T17" s="46"/>
      <c r="U17" s="46"/>
      <c r="V17" s="49"/>
      <c r="W17" s="49"/>
      <c r="X17" s="49"/>
      <c r="Y17" s="49"/>
      <c r="Z17" s="49"/>
      <c r="AA17" s="49"/>
      <c r="AB17" s="49"/>
      <c r="AC17" s="49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ht="15.75" customHeight="1">
      <c r="A18" s="48"/>
      <c r="B18" s="46"/>
      <c r="C18" s="41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9"/>
      <c r="W18" s="49"/>
      <c r="X18" s="49"/>
      <c r="Y18" s="49"/>
      <c r="Z18" s="49"/>
      <c r="AA18" s="49"/>
      <c r="AB18" s="49"/>
      <c r="AC18" s="49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ht="15.75" customHeight="1">
      <c r="A19" s="48"/>
      <c r="B19" s="46"/>
      <c r="C19" s="4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9"/>
      <c r="W19" s="49"/>
      <c r="X19" s="49"/>
      <c r="Y19" s="49"/>
      <c r="Z19" s="49"/>
      <c r="AA19" s="49"/>
      <c r="AB19" s="49"/>
      <c r="AC19" s="49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ht="15.75" customHeight="1">
      <c r="A20" s="48"/>
      <c r="B20" s="46"/>
      <c r="C20" s="4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9"/>
      <c r="W20" s="49"/>
      <c r="X20" s="49"/>
      <c r="Y20" s="49"/>
      <c r="Z20" s="49"/>
      <c r="AA20" s="49"/>
      <c r="AB20" s="49"/>
      <c r="AC20" s="49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ht="15.75" customHeight="1">
      <c r="A21" s="48"/>
      <c r="B21" s="46"/>
      <c r="C21" s="41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9"/>
      <c r="W21" s="49"/>
      <c r="X21" s="49"/>
      <c r="Y21" s="49"/>
      <c r="Z21" s="49"/>
      <c r="AA21" s="49"/>
      <c r="AB21" s="49"/>
      <c r="AC21" s="49"/>
      <c r="AD21" s="46"/>
      <c r="AE21" s="46"/>
      <c r="AF21" s="46"/>
      <c r="AG21" s="46"/>
      <c r="AH21" s="46"/>
      <c r="AI21" s="46"/>
      <c r="AJ21" s="46"/>
      <c r="AK21" s="46"/>
      <c r="AL21" s="46"/>
      <c r="AM21" s="46"/>
    </row>
    <row r="22" ht="15.75" customHeight="1">
      <c r="A22" s="48"/>
      <c r="B22" s="46"/>
      <c r="C22" s="41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9"/>
      <c r="W22" s="49"/>
      <c r="X22" s="49"/>
      <c r="Y22" s="49"/>
      <c r="Z22" s="49"/>
      <c r="AA22" s="49"/>
      <c r="AB22" s="49"/>
      <c r="AC22" s="49"/>
      <c r="AD22" s="46"/>
      <c r="AE22" s="46"/>
      <c r="AF22" s="46"/>
      <c r="AG22" s="46"/>
      <c r="AH22" s="46"/>
      <c r="AI22" s="46"/>
      <c r="AJ22" s="46"/>
      <c r="AK22" s="46"/>
      <c r="AL22" s="46"/>
      <c r="AM22" s="46"/>
    </row>
    <row r="23" ht="15.75" customHeight="1">
      <c r="A23" s="48"/>
      <c r="B23" s="46"/>
      <c r="C23" s="4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9"/>
      <c r="W23" s="49"/>
      <c r="X23" s="49"/>
      <c r="Y23" s="49"/>
      <c r="Z23" s="49"/>
      <c r="AA23" s="49"/>
      <c r="AB23" s="49"/>
      <c r="AC23" s="49"/>
      <c r="AD23" s="46"/>
      <c r="AE23" s="46"/>
      <c r="AF23" s="46"/>
      <c r="AG23" s="46"/>
      <c r="AH23" s="46"/>
      <c r="AI23" s="46"/>
      <c r="AJ23" s="46"/>
      <c r="AK23" s="46"/>
      <c r="AL23" s="46"/>
      <c r="AM23" s="46"/>
    </row>
    <row r="24" ht="15.75" customHeight="1">
      <c r="A24" s="48"/>
      <c r="B24" s="46"/>
      <c r="C24" s="41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9"/>
      <c r="W24" s="49"/>
      <c r="X24" s="49"/>
      <c r="Y24" s="49"/>
      <c r="Z24" s="49"/>
      <c r="AA24" s="49"/>
      <c r="AB24" s="49"/>
      <c r="AC24" s="49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ht="15.75" customHeight="1">
      <c r="A25" s="48"/>
      <c r="B25" s="46"/>
      <c r="C25" s="4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9"/>
      <c r="W25" s="49"/>
      <c r="X25" s="49"/>
      <c r="Y25" s="49"/>
      <c r="Z25" s="49"/>
      <c r="AA25" s="49"/>
      <c r="AB25" s="49"/>
      <c r="AC25" s="49"/>
      <c r="AD25" s="46"/>
      <c r="AE25" s="46"/>
      <c r="AF25" s="46"/>
      <c r="AG25" s="46"/>
      <c r="AH25" s="46"/>
      <c r="AI25" s="46"/>
      <c r="AJ25" s="46"/>
      <c r="AK25" s="46"/>
      <c r="AL25" s="46"/>
      <c r="AM25" s="46"/>
    </row>
    <row r="26" ht="15.75" customHeight="1">
      <c r="A26" s="48"/>
      <c r="B26" s="46"/>
      <c r="C26" s="4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9"/>
      <c r="W26" s="49"/>
      <c r="X26" s="49"/>
      <c r="Y26" s="49"/>
      <c r="Z26" s="49"/>
      <c r="AA26" s="49"/>
      <c r="AB26" s="49"/>
      <c r="AC26" s="49"/>
      <c r="AD26" s="46"/>
      <c r="AE26" s="46"/>
      <c r="AF26" s="46"/>
      <c r="AG26" s="46"/>
      <c r="AH26" s="46"/>
      <c r="AI26" s="46"/>
      <c r="AJ26" s="46"/>
      <c r="AK26" s="46"/>
      <c r="AL26" s="46"/>
      <c r="AM26" s="46"/>
    </row>
    <row r="27" ht="15.75" customHeight="1">
      <c r="A27" s="48"/>
      <c r="B27" s="46"/>
      <c r="C27" s="41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9"/>
      <c r="W27" s="49"/>
      <c r="X27" s="49"/>
      <c r="Y27" s="49"/>
      <c r="Z27" s="49"/>
      <c r="AA27" s="49"/>
      <c r="AB27" s="49"/>
      <c r="AC27" s="49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  <row r="28" ht="15.75" customHeight="1">
      <c r="A28" s="48"/>
      <c r="B28" s="46"/>
      <c r="C28" s="41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9"/>
      <c r="W28" s="49"/>
      <c r="X28" s="49"/>
      <c r="Y28" s="49"/>
      <c r="Z28" s="49"/>
      <c r="AA28" s="49"/>
      <c r="AB28" s="49"/>
      <c r="AC28" s="49"/>
      <c r="AD28" s="46"/>
      <c r="AE28" s="46"/>
      <c r="AF28" s="46"/>
      <c r="AG28" s="46"/>
      <c r="AH28" s="46"/>
      <c r="AI28" s="46"/>
      <c r="AJ28" s="46"/>
      <c r="AK28" s="46"/>
      <c r="AL28" s="46"/>
      <c r="AM28" s="46"/>
    </row>
    <row r="29" ht="15.75" customHeight="1">
      <c r="A29" s="48"/>
      <c r="B29" s="46"/>
      <c r="C29" s="41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9"/>
      <c r="W29" s="49"/>
      <c r="X29" s="49"/>
      <c r="Y29" s="49"/>
      <c r="Z29" s="49"/>
      <c r="AA29" s="49"/>
      <c r="AB29" s="49"/>
      <c r="AC29" s="49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ht="15.75" customHeight="1">
      <c r="A30" s="48"/>
      <c r="B30" s="46"/>
      <c r="C30" s="41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9"/>
      <c r="W30" s="49"/>
      <c r="X30" s="49"/>
      <c r="Y30" s="49"/>
      <c r="Z30" s="49"/>
      <c r="AA30" s="49"/>
      <c r="AB30" s="49"/>
      <c r="AC30" s="49"/>
      <c r="AD30" s="46"/>
      <c r="AE30" s="46"/>
      <c r="AF30" s="46"/>
      <c r="AG30" s="46"/>
      <c r="AH30" s="46"/>
      <c r="AI30" s="46"/>
      <c r="AJ30" s="46"/>
      <c r="AK30" s="46"/>
      <c r="AL30" s="46"/>
      <c r="AM30" s="46"/>
    </row>
    <row r="31" ht="15.75" customHeight="1">
      <c r="A31" s="48"/>
      <c r="B31" s="46"/>
      <c r="C31" s="41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9"/>
      <c r="W31" s="49"/>
      <c r="X31" s="49"/>
      <c r="Y31" s="49"/>
      <c r="Z31" s="49"/>
      <c r="AA31" s="49"/>
      <c r="AB31" s="49"/>
      <c r="AC31" s="49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ht="15.75" customHeight="1">
      <c r="A32" s="48"/>
      <c r="B32" s="46"/>
      <c r="C32" s="41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9"/>
      <c r="W32" s="49"/>
      <c r="X32" s="49"/>
      <c r="Y32" s="49"/>
      <c r="Z32" s="49"/>
      <c r="AA32" s="49"/>
      <c r="AB32" s="49"/>
      <c r="AC32" s="49"/>
      <c r="AD32" s="46"/>
      <c r="AE32" s="46"/>
      <c r="AF32" s="46"/>
      <c r="AG32" s="46"/>
      <c r="AH32" s="46"/>
      <c r="AI32" s="46"/>
      <c r="AJ32" s="46"/>
      <c r="AK32" s="46"/>
      <c r="AL32" s="46"/>
      <c r="AM32" s="46"/>
    </row>
    <row r="33" ht="15.75" customHeight="1">
      <c r="A33" s="48"/>
      <c r="B33" s="46"/>
      <c r="C33" s="41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9"/>
      <c r="W33" s="49"/>
      <c r="X33" s="49"/>
      <c r="Y33" s="49"/>
      <c r="Z33" s="49"/>
      <c r="AA33" s="49"/>
      <c r="AB33" s="49"/>
      <c r="AC33" s="49"/>
      <c r="AD33" s="46"/>
      <c r="AE33" s="46"/>
      <c r="AF33" s="46"/>
      <c r="AG33" s="46"/>
      <c r="AH33" s="46"/>
      <c r="AI33" s="46"/>
      <c r="AJ33" s="46"/>
      <c r="AK33" s="46"/>
      <c r="AL33" s="46"/>
      <c r="AM33" s="46"/>
    </row>
    <row r="34" ht="15.75" customHeight="1">
      <c r="A34" s="48"/>
      <c r="B34" s="46"/>
      <c r="C34" s="41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9"/>
      <c r="W34" s="49"/>
      <c r="X34" s="49"/>
      <c r="Y34" s="49"/>
      <c r="Z34" s="49"/>
      <c r="AA34" s="49"/>
      <c r="AB34" s="49"/>
      <c r="AC34" s="49"/>
      <c r="AD34" s="46"/>
      <c r="AE34" s="46"/>
      <c r="AF34" s="46"/>
      <c r="AG34" s="46"/>
      <c r="AH34" s="46"/>
      <c r="AI34" s="46"/>
      <c r="AJ34" s="46"/>
      <c r="AK34" s="46"/>
      <c r="AL34" s="46"/>
      <c r="AM34" s="46"/>
    </row>
    <row r="35" ht="15.75" customHeight="1">
      <c r="A35" s="48"/>
      <c r="B35" s="46"/>
      <c r="C35" s="41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9"/>
      <c r="W35" s="49"/>
      <c r="X35" s="49"/>
      <c r="Y35" s="49"/>
      <c r="Z35" s="49"/>
      <c r="AA35" s="49"/>
      <c r="AB35" s="49"/>
      <c r="AC35" s="49"/>
      <c r="AD35" s="46"/>
      <c r="AE35" s="46"/>
      <c r="AF35" s="46"/>
      <c r="AG35" s="46"/>
      <c r="AH35" s="46"/>
      <c r="AI35" s="46"/>
      <c r="AJ35" s="46"/>
      <c r="AK35" s="46"/>
      <c r="AL35" s="46"/>
      <c r="AM35" s="46"/>
    </row>
    <row r="36" ht="15.75" customHeight="1">
      <c r="A36" s="48"/>
      <c r="B36" s="46"/>
      <c r="C36" s="41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9"/>
      <c r="W36" s="49"/>
      <c r="X36" s="49"/>
      <c r="Y36" s="49"/>
      <c r="Z36" s="49"/>
      <c r="AA36" s="49"/>
      <c r="AB36" s="49"/>
      <c r="AC36" s="49"/>
      <c r="AD36" s="46"/>
      <c r="AE36" s="46"/>
      <c r="AF36" s="46"/>
      <c r="AG36" s="46"/>
      <c r="AH36" s="46"/>
      <c r="AI36" s="46"/>
      <c r="AJ36" s="46"/>
      <c r="AK36" s="46"/>
      <c r="AL36" s="46"/>
      <c r="AM36" s="46"/>
    </row>
    <row r="37" ht="15.75" customHeight="1">
      <c r="A37" s="48"/>
      <c r="B37" s="46"/>
      <c r="C37" s="41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9"/>
      <c r="W37" s="49"/>
      <c r="X37" s="49"/>
      <c r="Y37" s="49"/>
      <c r="Z37" s="49"/>
      <c r="AA37" s="49"/>
      <c r="AB37" s="49"/>
      <c r="AC37" s="49"/>
      <c r="AD37" s="46"/>
      <c r="AE37" s="46"/>
      <c r="AF37" s="46"/>
      <c r="AG37" s="46"/>
      <c r="AH37" s="46"/>
      <c r="AI37" s="46"/>
      <c r="AJ37" s="46"/>
      <c r="AK37" s="46"/>
      <c r="AL37" s="46"/>
      <c r="AM37" s="46"/>
    </row>
    <row r="38" ht="15.75" customHeight="1">
      <c r="A38" s="48"/>
      <c r="B38" s="46"/>
      <c r="C38" s="41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9"/>
      <c r="W38" s="49"/>
      <c r="X38" s="49"/>
      <c r="Y38" s="49"/>
      <c r="Z38" s="49"/>
      <c r="AA38" s="49"/>
      <c r="AB38" s="49"/>
      <c r="AC38" s="49"/>
      <c r="AD38" s="46"/>
      <c r="AE38" s="46"/>
      <c r="AF38" s="46"/>
      <c r="AG38" s="46"/>
      <c r="AH38" s="46"/>
      <c r="AI38" s="46"/>
      <c r="AJ38" s="46"/>
      <c r="AK38" s="46"/>
      <c r="AL38" s="46"/>
      <c r="AM38" s="46"/>
    </row>
    <row r="39" ht="15.75" customHeight="1">
      <c r="A39" s="48"/>
      <c r="B39" s="46"/>
      <c r="C39" s="41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9"/>
      <c r="W39" s="49"/>
      <c r="X39" s="49"/>
      <c r="Y39" s="49"/>
      <c r="Z39" s="49"/>
      <c r="AA39" s="49"/>
      <c r="AB39" s="49"/>
      <c r="AC39" s="49"/>
      <c r="AD39" s="46"/>
      <c r="AE39" s="46"/>
      <c r="AF39" s="46"/>
      <c r="AG39" s="46"/>
      <c r="AH39" s="46"/>
      <c r="AI39" s="46"/>
      <c r="AJ39" s="46"/>
      <c r="AK39" s="46"/>
      <c r="AL39" s="46"/>
      <c r="AM39" s="46"/>
    </row>
    <row r="40" ht="15.75" customHeight="1">
      <c r="A40" s="48"/>
      <c r="B40" s="46"/>
      <c r="C40" s="41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9"/>
      <c r="W40" s="49"/>
      <c r="X40" s="49"/>
      <c r="Y40" s="49"/>
      <c r="Z40" s="49"/>
      <c r="AA40" s="49"/>
      <c r="AB40" s="49"/>
      <c r="AC40" s="49"/>
      <c r="AD40" s="46"/>
      <c r="AE40" s="46"/>
      <c r="AF40" s="46"/>
      <c r="AG40" s="46"/>
      <c r="AH40" s="46"/>
      <c r="AI40" s="46"/>
      <c r="AJ40" s="46"/>
      <c r="AK40" s="46"/>
      <c r="AL40" s="46"/>
      <c r="AM40" s="46"/>
    </row>
    <row r="41" ht="15.75" customHeight="1">
      <c r="A41" s="48"/>
      <c r="B41" s="46"/>
      <c r="C41" s="4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9"/>
      <c r="W41" s="49"/>
      <c r="X41" s="49"/>
      <c r="Y41" s="49"/>
      <c r="Z41" s="49"/>
      <c r="AA41" s="49"/>
      <c r="AB41" s="49"/>
      <c r="AC41" s="49"/>
      <c r="AD41" s="46"/>
      <c r="AE41" s="46"/>
      <c r="AF41" s="46"/>
      <c r="AG41" s="46"/>
      <c r="AH41" s="46"/>
      <c r="AI41" s="46"/>
      <c r="AJ41" s="46"/>
      <c r="AK41" s="46"/>
      <c r="AL41" s="46"/>
      <c r="AM41" s="46"/>
    </row>
    <row r="42" ht="15.75" customHeight="1">
      <c r="A42" s="48"/>
      <c r="B42" s="46"/>
      <c r="C42" s="41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9"/>
      <c r="W42" s="49"/>
      <c r="X42" s="49"/>
      <c r="Y42" s="49"/>
      <c r="Z42" s="49"/>
      <c r="AA42" s="49"/>
      <c r="AB42" s="49"/>
      <c r="AC42" s="49"/>
      <c r="AD42" s="46"/>
      <c r="AE42" s="46"/>
      <c r="AF42" s="46"/>
      <c r="AG42" s="46"/>
      <c r="AH42" s="46"/>
      <c r="AI42" s="46"/>
      <c r="AJ42" s="46"/>
      <c r="AK42" s="46"/>
      <c r="AL42" s="46"/>
      <c r="AM42" s="46"/>
    </row>
    <row r="43" ht="15.75" customHeight="1">
      <c r="A43" s="48"/>
      <c r="B43" s="46"/>
      <c r="C43" s="41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9"/>
      <c r="W43" s="49"/>
      <c r="X43" s="49"/>
      <c r="Y43" s="49"/>
      <c r="Z43" s="49"/>
      <c r="AA43" s="49"/>
      <c r="AB43" s="49"/>
      <c r="AC43" s="49"/>
      <c r="AD43" s="46"/>
      <c r="AE43" s="46"/>
      <c r="AF43" s="46"/>
      <c r="AG43" s="46"/>
      <c r="AH43" s="46"/>
      <c r="AI43" s="46"/>
      <c r="AJ43" s="46"/>
      <c r="AK43" s="46"/>
      <c r="AL43" s="46"/>
      <c r="AM43" s="46"/>
    </row>
    <row r="44" ht="15.75" customHeight="1">
      <c r="A44" s="48"/>
      <c r="B44" s="46"/>
      <c r="C44" s="41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9"/>
      <c r="W44" s="49"/>
      <c r="X44" s="49"/>
      <c r="Y44" s="49"/>
      <c r="Z44" s="49"/>
      <c r="AA44" s="49"/>
      <c r="AB44" s="49"/>
      <c r="AC44" s="49"/>
      <c r="AD44" s="46"/>
      <c r="AE44" s="46"/>
      <c r="AF44" s="46"/>
      <c r="AG44" s="46"/>
      <c r="AH44" s="46"/>
      <c r="AI44" s="46"/>
      <c r="AJ44" s="46"/>
      <c r="AK44" s="46"/>
      <c r="AL44" s="46"/>
      <c r="AM44" s="46"/>
    </row>
    <row r="45" ht="15.75" customHeight="1">
      <c r="A45" s="48"/>
      <c r="B45" s="46"/>
      <c r="C45" s="41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9"/>
      <c r="W45" s="49"/>
      <c r="X45" s="49"/>
      <c r="Y45" s="49"/>
      <c r="Z45" s="49"/>
      <c r="AA45" s="49"/>
      <c r="AB45" s="49"/>
      <c r="AC45" s="49"/>
      <c r="AD45" s="46"/>
      <c r="AE45" s="46"/>
      <c r="AF45" s="46"/>
      <c r="AG45" s="46"/>
      <c r="AH45" s="46"/>
      <c r="AI45" s="46"/>
      <c r="AJ45" s="46"/>
      <c r="AK45" s="46"/>
      <c r="AL45" s="46"/>
      <c r="AM45" s="46"/>
    </row>
    <row r="46" ht="15.75" customHeight="1">
      <c r="A46" s="48"/>
      <c r="B46" s="46"/>
      <c r="C46" s="41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9"/>
      <c r="W46" s="49"/>
      <c r="X46" s="49"/>
      <c r="Y46" s="49"/>
      <c r="Z46" s="49"/>
      <c r="AA46" s="49"/>
      <c r="AB46" s="49"/>
      <c r="AC46" s="49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ht="15.75" customHeight="1">
      <c r="A47" s="48"/>
      <c r="B47" s="46"/>
      <c r="C47" s="41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9"/>
      <c r="W47" s="49"/>
      <c r="X47" s="49"/>
      <c r="Y47" s="49"/>
      <c r="Z47" s="49"/>
      <c r="AA47" s="49"/>
      <c r="AB47" s="49"/>
      <c r="AC47" s="49"/>
      <c r="AD47" s="46"/>
      <c r="AE47" s="46"/>
      <c r="AF47" s="46"/>
      <c r="AG47" s="46"/>
      <c r="AH47" s="46"/>
      <c r="AI47" s="46"/>
      <c r="AJ47" s="46"/>
      <c r="AK47" s="46"/>
      <c r="AL47" s="46"/>
      <c r="AM47" s="46"/>
    </row>
    <row r="48" ht="15.75" customHeight="1">
      <c r="A48" s="48"/>
      <c r="B48" s="46"/>
      <c r="C48" s="41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9"/>
      <c r="W48" s="49"/>
      <c r="X48" s="49"/>
      <c r="Y48" s="49"/>
      <c r="Z48" s="49"/>
      <c r="AA48" s="49"/>
      <c r="AB48" s="49"/>
      <c r="AC48" s="49"/>
      <c r="AD48" s="46"/>
      <c r="AE48" s="46"/>
      <c r="AF48" s="46"/>
      <c r="AG48" s="46"/>
      <c r="AH48" s="46"/>
      <c r="AI48" s="46"/>
      <c r="AJ48" s="46"/>
      <c r="AK48" s="46"/>
      <c r="AL48" s="46"/>
      <c r="AM48" s="46"/>
    </row>
    <row r="49" ht="15.75" customHeight="1">
      <c r="A49" s="48"/>
      <c r="B49" s="46"/>
      <c r="C49" s="41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9"/>
      <c r="W49" s="49"/>
      <c r="X49" s="49"/>
      <c r="Y49" s="49"/>
      <c r="Z49" s="49"/>
      <c r="AA49" s="49"/>
      <c r="AB49" s="49"/>
      <c r="AC49" s="49"/>
      <c r="AD49" s="46"/>
      <c r="AE49" s="46"/>
      <c r="AF49" s="46"/>
      <c r="AG49" s="46"/>
      <c r="AH49" s="46"/>
      <c r="AI49" s="46"/>
      <c r="AJ49" s="46"/>
      <c r="AK49" s="46"/>
      <c r="AL49" s="46"/>
      <c r="AM49" s="46"/>
    </row>
    <row r="50" ht="15.75" customHeight="1">
      <c r="A50" s="48"/>
      <c r="B50" s="46"/>
      <c r="C50" s="41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9"/>
      <c r="W50" s="49"/>
      <c r="X50" s="49"/>
      <c r="Y50" s="49"/>
      <c r="Z50" s="49"/>
      <c r="AA50" s="49"/>
      <c r="AB50" s="49"/>
      <c r="AC50" s="49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ht="15.75" customHeight="1">
      <c r="A51" s="48"/>
      <c r="B51" s="46"/>
      <c r="C51" s="41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9"/>
      <c r="W51" s="49"/>
      <c r="X51" s="49"/>
      <c r="Y51" s="49"/>
      <c r="Z51" s="49"/>
      <c r="AA51" s="49"/>
      <c r="AB51" s="49"/>
      <c r="AC51" s="49"/>
      <c r="AD51" s="46"/>
      <c r="AE51" s="46"/>
      <c r="AF51" s="46"/>
      <c r="AG51" s="46"/>
      <c r="AH51" s="46"/>
      <c r="AI51" s="46"/>
      <c r="AJ51" s="46"/>
      <c r="AK51" s="46"/>
      <c r="AL51" s="46"/>
      <c r="AM51" s="46"/>
    </row>
    <row r="52" ht="15.75" customHeight="1">
      <c r="A52" s="48"/>
      <c r="B52" s="46"/>
      <c r="C52" s="41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9"/>
      <c r="W52" s="49"/>
      <c r="X52" s="49"/>
      <c r="Y52" s="49"/>
      <c r="Z52" s="49"/>
      <c r="AA52" s="49"/>
      <c r="AB52" s="49"/>
      <c r="AC52" s="49"/>
      <c r="AD52" s="46"/>
      <c r="AE52" s="46"/>
      <c r="AF52" s="46"/>
      <c r="AG52" s="46"/>
      <c r="AH52" s="46"/>
      <c r="AI52" s="46"/>
      <c r="AJ52" s="46"/>
      <c r="AK52" s="46"/>
      <c r="AL52" s="46"/>
      <c r="AM52" s="46"/>
    </row>
    <row r="53" ht="15.75" customHeight="1">
      <c r="A53" s="48"/>
      <c r="B53" s="46"/>
      <c r="C53" s="41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9"/>
      <c r="W53" s="49"/>
      <c r="X53" s="49"/>
      <c r="Y53" s="49"/>
      <c r="Z53" s="49"/>
      <c r="AA53" s="49"/>
      <c r="AB53" s="49"/>
      <c r="AC53" s="49"/>
      <c r="AD53" s="46"/>
      <c r="AE53" s="46"/>
      <c r="AF53" s="46"/>
      <c r="AG53" s="46"/>
      <c r="AH53" s="46"/>
      <c r="AI53" s="46"/>
      <c r="AJ53" s="46"/>
      <c r="AK53" s="46"/>
      <c r="AL53" s="46"/>
      <c r="AM53" s="46"/>
    </row>
    <row r="54" ht="15.75" customHeight="1">
      <c r="A54" s="48"/>
      <c r="B54" s="46"/>
      <c r="C54" s="41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9"/>
      <c r="W54" s="49"/>
      <c r="X54" s="49"/>
      <c r="Y54" s="49"/>
      <c r="Z54" s="49"/>
      <c r="AA54" s="49"/>
      <c r="AB54" s="49"/>
      <c r="AC54" s="49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ht="15.75" customHeight="1">
      <c r="A55" s="48"/>
      <c r="B55" s="46"/>
      <c r="C55" s="41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9"/>
      <c r="W55" s="49"/>
      <c r="X55" s="49"/>
      <c r="Y55" s="49"/>
      <c r="Z55" s="49"/>
      <c r="AA55" s="49"/>
      <c r="AB55" s="49"/>
      <c r="AC55" s="49"/>
      <c r="AD55" s="46"/>
      <c r="AE55" s="46"/>
      <c r="AF55" s="46"/>
      <c r="AG55" s="46"/>
      <c r="AH55" s="46"/>
      <c r="AI55" s="46"/>
      <c r="AJ55" s="46"/>
      <c r="AK55" s="46"/>
      <c r="AL55" s="46"/>
      <c r="AM55" s="46"/>
    </row>
    <row r="56" ht="15.75" customHeight="1">
      <c r="A56" s="48"/>
      <c r="B56" s="46"/>
      <c r="C56" s="41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9"/>
      <c r="W56" s="49"/>
      <c r="X56" s="49"/>
      <c r="Y56" s="49"/>
      <c r="Z56" s="49"/>
      <c r="AA56" s="49"/>
      <c r="AB56" s="49"/>
      <c r="AC56" s="49"/>
      <c r="AD56" s="46"/>
      <c r="AE56" s="46"/>
      <c r="AF56" s="46"/>
      <c r="AG56" s="46"/>
      <c r="AH56" s="46"/>
      <c r="AI56" s="46"/>
      <c r="AJ56" s="46"/>
      <c r="AK56" s="46"/>
      <c r="AL56" s="46"/>
      <c r="AM56" s="46"/>
    </row>
    <row r="57" ht="15.75" customHeight="1">
      <c r="A57" s="48"/>
      <c r="B57" s="46"/>
      <c r="C57" s="41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9"/>
      <c r="W57" s="49"/>
      <c r="X57" s="49"/>
      <c r="Y57" s="49"/>
      <c r="Z57" s="49"/>
      <c r="AA57" s="49"/>
      <c r="AB57" s="49"/>
      <c r="AC57" s="49"/>
      <c r="AD57" s="46"/>
      <c r="AE57" s="46"/>
      <c r="AF57" s="46"/>
      <c r="AG57" s="46"/>
      <c r="AH57" s="46"/>
      <c r="AI57" s="46"/>
      <c r="AJ57" s="46"/>
      <c r="AK57" s="46"/>
      <c r="AL57" s="46"/>
      <c r="AM57" s="46"/>
    </row>
    <row r="58" ht="15.75" customHeight="1">
      <c r="A58" s="48"/>
      <c r="B58" s="46"/>
      <c r="C58" s="41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9"/>
      <c r="W58" s="49"/>
      <c r="X58" s="49"/>
      <c r="Y58" s="49"/>
      <c r="Z58" s="49"/>
      <c r="AA58" s="49"/>
      <c r="AB58" s="49"/>
      <c r="AC58" s="49"/>
      <c r="AD58" s="46"/>
      <c r="AE58" s="46"/>
      <c r="AF58" s="46"/>
      <c r="AG58" s="46"/>
      <c r="AH58" s="46"/>
      <c r="AI58" s="46"/>
      <c r="AJ58" s="46"/>
      <c r="AK58" s="46"/>
      <c r="AL58" s="46"/>
      <c r="AM58" s="46"/>
    </row>
    <row r="59" ht="15.75" customHeight="1">
      <c r="A59" s="48"/>
      <c r="B59" s="46"/>
      <c r="C59" s="41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9"/>
      <c r="W59" s="49"/>
      <c r="X59" s="49"/>
      <c r="Y59" s="49"/>
      <c r="Z59" s="49"/>
      <c r="AA59" s="49"/>
      <c r="AB59" s="49"/>
      <c r="AC59" s="49"/>
      <c r="AD59" s="46"/>
      <c r="AE59" s="46"/>
      <c r="AF59" s="46"/>
      <c r="AG59" s="46"/>
      <c r="AH59" s="46"/>
      <c r="AI59" s="46"/>
      <c r="AJ59" s="46"/>
      <c r="AK59" s="46"/>
      <c r="AL59" s="46"/>
      <c r="AM59" s="46"/>
    </row>
    <row r="60" ht="15.75" customHeight="1">
      <c r="A60" s="48"/>
      <c r="B60" s="46"/>
      <c r="C60" s="41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9"/>
      <c r="W60" s="49"/>
      <c r="X60" s="49"/>
      <c r="Y60" s="49"/>
      <c r="Z60" s="49"/>
      <c r="AA60" s="49"/>
      <c r="AB60" s="49"/>
      <c r="AC60" s="49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ht="15.75" customHeight="1">
      <c r="A61" s="48"/>
      <c r="B61" s="46"/>
      <c r="C61" s="41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9"/>
      <c r="W61" s="49"/>
      <c r="X61" s="49"/>
      <c r="Y61" s="49"/>
      <c r="Z61" s="49"/>
      <c r="AA61" s="49"/>
      <c r="AB61" s="49"/>
      <c r="AC61" s="49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ht="15.75" customHeight="1">
      <c r="A62" s="48"/>
      <c r="B62" s="46"/>
      <c r="C62" s="41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9"/>
      <c r="W62" s="49"/>
      <c r="X62" s="49"/>
      <c r="Y62" s="49"/>
      <c r="Z62" s="49"/>
      <c r="AA62" s="49"/>
      <c r="AB62" s="49"/>
      <c r="AC62" s="49"/>
      <c r="AD62" s="46"/>
      <c r="AE62" s="46"/>
      <c r="AF62" s="46"/>
      <c r="AG62" s="46"/>
      <c r="AH62" s="46"/>
      <c r="AI62" s="46"/>
      <c r="AJ62" s="46"/>
      <c r="AK62" s="46"/>
      <c r="AL62" s="46"/>
      <c r="AM62" s="46"/>
    </row>
    <row r="63" ht="15.75" customHeight="1">
      <c r="A63" s="48"/>
      <c r="B63" s="46"/>
      <c r="C63" s="41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9"/>
      <c r="W63" s="49"/>
      <c r="X63" s="49"/>
      <c r="Y63" s="49"/>
      <c r="Z63" s="49"/>
      <c r="AA63" s="49"/>
      <c r="AB63" s="49"/>
      <c r="AC63" s="49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ht="15.75" customHeight="1">
      <c r="A64" s="48"/>
      <c r="B64" s="46"/>
      <c r="C64" s="41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9"/>
      <c r="W64" s="49"/>
      <c r="X64" s="49"/>
      <c r="Y64" s="49"/>
      <c r="Z64" s="49"/>
      <c r="AA64" s="49"/>
      <c r="AB64" s="49"/>
      <c r="AC64" s="49"/>
      <c r="AD64" s="46"/>
      <c r="AE64" s="46"/>
      <c r="AF64" s="46"/>
      <c r="AG64" s="46"/>
      <c r="AH64" s="46"/>
      <c r="AI64" s="46"/>
      <c r="AJ64" s="46"/>
      <c r="AK64" s="46"/>
      <c r="AL64" s="46"/>
      <c r="AM64" s="46"/>
    </row>
    <row r="65" ht="15.75" customHeight="1">
      <c r="A65" s="48"/>
      <c r="B65" s="46"/>
      <c r="C65" s="41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9"/>
      <c r="W65" s="49"/>
      <c r="X65" s="49"/>
      <c r="Y65" s="49"/>
      <c r="Z65" s="49"/>
      <c r="AA65" s="49"/>
      <c r="AB65" s="49"/>
      <c r="AC65" s="49"/>
      <c r="AD65" s="46"/>
      <c r="AE65" s="46"/>
      <c r="AF65" s="46"/>
      <c r="AG65" s="46"/>
      <c r="AH65" s="46"/>
      <c r="AI65" s="46"/>
      <c r="AJ65" s="46"/>
      <c r="AK65" s="46"/>
      <c r="AL65" s="46"/>
      <c r="AM65" s="46"/>
    </row>
    <row r="66" ht="15.75" customHeight="1">
      <c r="A66" s="48"/>
      <c r="B66" s="46"/>
      <c r="C66" s="41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9"/>
      <c r="W66" s="49"/>
      <c r="X66" s="49"/>
      <c r="Y66" s="49"/>
      <c r="Z66" s="49"/>
      <c r="AA66" s="49"/>
      <c r="AB66" s="49"/>
      <c r="AC66" s="49"/>
      <c r="AD66" s="46"/>
      <c r="AE66" s="46"/>
      <c r="AF66" s="46"/>
      <c r="AG66" s="46"/>
      <c r="AH66" s="46"/>
      <c r="AI66" s="46"/>
      <c r="AJ66" s="46"/>
      <c r="AK66" s="46"/>
      <c r="AL66" s="46"/>
      <c r="AM66" s="46"/>
    </row>
    <row r="67" ht="15.75" customHeight="1">
      <c r="A67" s="48"/>
      <c r="B67" s="46"/>
      <c r="C67" s="41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9"/>
      <c r="W67" s="49"/>
      <c r="X67" s="49"/>
      <c r="Y67" s="49"/>
      <c r="Z67" s="49"/>
      <c r="AA67" s="49"/>
      <c r="AB67" s="49"/>
      <c r="AC67" s="49"/>
      <c r="AD67" s="46"/>
      <c r="AE67" s="46"/>
      <c r="AF67" s="46"/>
      <c r="AG67" s="46"/>
      <c r="AH67" s="46"/>
      <c r="AI67" s="46"/>
      <c r="AJ67" s="46"/>
      <c r="AK67" s="46"/>
      <c r="AL67" s="46"/>
      <c r="AM67" s="46"/>
    </row>
    <row r="68" ht="15.75" customHeight="1">
      <c r="A68" s="48"/>
      <c r="B68" s="46"/>
      <c r="C68" s="41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9"/>
      <c r="W68" s="49"/>
      <c r="X68" s="49"/>
      <c r="Y68" s="49"/>
      <c r="Z68" s="49"/>
      <c r="AA68" s="49"/>
      <c r="AB68" s="49"/>
      <c r="AC68" s="49"/>
      <c r="AD68" s="46"/>
      <c r="AE68" s="46"/>
      <c r="AF68" s="46"/>
      <c r="AG68" s="46"/>
      <c r="AH68" s="46"/>
      <c r="AI68" s="46"/>
      <c r="AJ68" s="46"/>
      <c r="AK68" s="46"/>
      <c r="AL68" s="46"/>
      <c r="AM68" s="46"/>
    </row>
    <row r="69" ht="15.75" customHeight="1">
      <c r="A69" s="48"/>
      <c r="B69" s="46"/>
      <c r="C69" s="41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9"/>
      <c r="W69" s="49"/>
      <c r="X69" s="49"/>
      <c r="Y69" s="49"/>
      <c r="Z69" s="49"/>
      <c r="AA69" s="49"/>
      <c r="AB69" s="49"/>
      <c r="AC69" s="49"/>
      <c r="AD69" s="46"/>
      <c r="AE69" s="46"/>
      <c r="AF69" s="46"/>
      <c r="AG69" s="46"/>
      <c r="AH69" s="46"/>
      <c r="AI69" s="46"/>
      <c r="AJ69" s="46"/>
      <c r="AK69" s="46"/>
      <c r="AL69" s="46"/>
      <c r="AM69" s="46"/>
    </row>
    <row r="70" ht="15.75" customHeight="1">
      <c r="A70" s="48"/>
      <c r="B70" s="46"/>
      <c r="C70" s="41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9"/>
      <c r="W70" s="49"/>
      <c r="X70" s="49"/>
      <c r="Y70" s="49"/>
      <c r="Z70" s="49"/>
      <c r="AA70" s="49"/>
      <c r="AB70" s="49"/>
      <c r="AC70" s="49"/>
      <c r="AD70" s="46"/>
      <c r="AE70" s="46"/>
      <c r="AF70" s="46"/>
      <c r="AG70" s="46"/>
      <c r="AH70" s="46"/>
      <c r="AI70" s="46"/>
      <c r="AJ70" s="46"/>
      <c r="AK70" s="46"/>
      <c r="AL70" s="46"/>
      <c r="AM70" s="46"/>
    </row>
    <row r="71" ht="15.75" customHeight="1">
      <c r="A71" s="48"/>
      <c r="B71" s="46"/>
      <c r="C71" s="41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9"/>
      <c r="W71" s="49"/>
      <c r="X71" s="49"/>
      <c r="Y71" s="49"/>
      <c r="Z71" s="49"/>
      <c r="AA71" s="49"/>
      <c r="AB71" s="49"/>
      <c r="AC71" s="49"/>
      <c r="AD71" s="46"/>
      <c r="AE71" s="46"/>
      <c r="AF71" s="46"/>
      <c r="AG71" s="46"/>
      <c r="AH71" s="46"/>
      <c r="AI71" s="46"/>
      <c r="AJ71" s="46"/>
      <c r="AK71" s="46"/>
      <c r="AL71" s="46"/>
      <c r="AM71" s="46"/>
    </row>
    <row r="72" ht="15.75" customHeight="1">
      <c r="A72" s="48"/>
      <c r="B72" s="46"/>
      <c r="C72" s="41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9"/>
      <c r="W72" s="49"/>
      <c r="X72" s="49"/>
      <c r="Y72" s="49"/>
      <c r="Z72" s="49"/>
      <c r="AA72" s="49"/>
      <c r="AB72" s="49"/>
      <c r="AC72" s="49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ht="15.75" customHeight="1">
      <c r="A73" s="48"/>
      <c r="B73" s="46"/>
      <c r="C73" s="41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9"/>
      <c r="W73" s="49"/>
      <c r="X73" s="49"/>
      <c r="Y73" s="49"/>
      <c r="Z73" s="49"/>
      <c r="AA73" s="49"/>
      <c r="AB73" s="49"/>
      <c r="AC73" s="49"/>
      <c r="AD73" s="46"/>
      <c r="AE73" s="46"/>
      <c r="AF73" s="46"/>
      <c r="AG73" s="46"/>
      <c r="AH73" s="46"/>
      <c r="AI73" s="46"/>
      <c r="AJ73" s="46"/>
      <c r="AK73" s="46"/>
      <c r="AL73" s="46"/>
      <c r="AM73" s="46"/>
    </row>
    <row r="74" ht="15.75" customHeight="1">
      <c r="A74" s="48"/>
      <c r="B74" s="46"/>
      <c r="C74" s="41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9"/>
      <c r="W74" s="49"/>
      <c r="X74" s="49"/>
      <c r="Y74" s="49"/>
      <c r="Z74" s="49"/>
      <c r="AA74" s="49"/>
      <c r="AB74" s="49"/>
      <c r="AC74" s="49"/>
      <c r="AD74" s="46"/>
      <c r="AE74" s="46"/>
      <c r="AF74" s="46"/>
      <c r="AG74" s="46"/>
      <c r="AH74" s="46"/>
      <c r="AI74" s="46"/>
      <c r="AJ74" s="46"/>
      <c r="AK74" s="46"/>
      <c r="AL74" s="46"/>
      <c r="AM74" s="46"/>
    </row>
    <row r="75" ht="15.75" customHeight="1">
      <c r="A75" s="48"/>
      <c r="B75" s="46"/>
      <c r="C75" s="41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9"/>
      <c r="W75" s="49"/>
      <c r="X75" s="49"/>
      <c r="Y75" s="49"/>
      <c r="Z75" s="49"/>
      <c r="AA75" s="49"/>
      <c r="AB75" s="49"/>
      <c r="AC75" s="49"/>
      <c r="AD75" s="46"/>
      <c r="AE75" s="46"/>
      <c r="AF75" s="46"/>
      <c r="AG75" s="46"/>
      <c r="AH75" s="46"/>
      <c r="AI75" s="46"/>
      <c r="AJ75" s="46"/>
      <c r="AK75" s="46"/>
      <c r="AL75" s="46"/>
      <c r="AM75" s="46"/>
    </row>
    <row r="76" ht="15.75" customHeight="1">
      <c r="A76" s="48"/>
      <c r="B76" s="46"/>
      <c r="C76" s="41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9"/>
      <c r="W76" s="49"/>
      <c r="X76" s="49"/>
      <c r="Y76" s="49"/>
      <c r="Z76" s="49"/>
      <c r="AA76" s="49"/>
      <c r="AB76" s="49"/>
      <c r="AC76" s="49"/>
      <c r="AD76" s="46"/>
      <c r="AE76" s="46"/>
      <c r="AF76" s="46"/>
      <c r="AG76" s="46"/>
      <c r="AH76" s="46"/>
      <c r="AI76" s="46"/>
      <c r="AJ76" s="46"/>
      <c r="AK76" s="46"/>
      <c r="AL76" s="46"/>
      <c r="AM76" s="46"/>
    </row>
    <row r="77" ht="15.75" customHeight="1">
      <c r="A77" s="48"/>
      <c r="B77" s="46"/>
      <c r="C77" s="41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9"/>
      <c r="W77" s="49"/>
      <c r="X77" s="49"/>
      <c r="Y77" s="49"/>
      <c r="Z77" s="49"/>
      <c r="AA77" s="49"/>
      <c r="AB77" s="49"/>
      <c r="AC77" s="49"/>
      <c r="AD77" s="46"/>
      <c r="AE77" s="46"/>
      <c r="AF77" s="46"/>
      <c r="AG77" s="46"/>
      <c r="AH77" s="46"/>
      <c r="AI77" s="46"/>
      <c r="AJ77" s="46"/>
      <c r="AK77" s="46"/>
      <c r="AL77" s="46"/>
      <c r="AM77" s="46"/>
    </row>
    <row r="78" ht="15.75" customHeight="1">
      <c r="A78" s="48"/>
      <c r="B78" s="46"/>
      <c r="C78" s="41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9"/>
      <c r="W78" s="49"/>
      <c r="X78" s="49"/>
      <c r="Y78" s="49"/>
      <c r="Z78" s="49"/>
      <c r="AA78" s="49"/>
      <c r="AB78" s="49"/>
      <c r="AC78" s="49"/>
      <c r="AD78" s="46"/>
      <c r="AE78" s="46"/>
      <c r="AF78" s="46"/>
      <c r="AG78" s="46"/>
      <c r="AH78" s="46"/>
      <c r="AI78" s="46"/>
      <c r="AJ78" s="46"/>
      <c r="AK78" s="46"/>
      <c r="AL78" s="46"/>
      <c r="AM78" s="46"/>
    </row>
    <row r="79" ht="15.75" customHeight="1">
      <c r="A79" s="48"/>
      <c r="B79" s="46"/>
      <c r="C79" s="41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9"/>
      <c r="W79" s="49"/>
      <c r="X79" s="49"/>
      <c r="Y79" s="49"/>
      <c r="Z79" s="49"/>
      <c r="AA79" s="49"/>
      <c r="AB79" s="49"/>
      <c r="AC79" s="49"/>
      <c r="AD79" s="46"/>
      <c r="AE79" s="46"/>
      <c r="AF79" s="46"/>
      <c r="AG79" s="46"/>
      <c r="AH79" s="46"/>
      <c r="AI79" s="46"/>
      <c r="AJ79" s="46"/>
      <c r="AK79" s="46"/>
      <c r="AL79" s="46"/>
      <c r="AM79" s="46"/>
    </row>
    <row r="80" ht="15.75" customHeight="1">
      <c r="A80" s="48"/>
      <c r="B80" s="46"/>
      <c r="C80" s="41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9"/>
      <c r="W80" s="49"/>
      <c r="X80" s="49"/>
      <c r="Y80" s="49"/>
      <c r="Z80" s="49"/>
      <c r="AA80" s="49"/>
      <c r="AB80" s="49"/>
      <c r="AC80" s="49"/>
      <c r="AD80" s="46"/>
      <c r="AE80" s="46"/>
      <c r="AF80" s="46"/>
      <c r="AG80" s="46"/>
      <c r="AH80" s="46"/>
      <c r="AI80" s="46"/>
      <c r="AJ80" s="46"/>
      <c r="AK80" s="46"/>
      <c r="AL80" s="46"/>
      <c r="AM80" s="46"/>
    </row>
    <row r="81" ht="15.75" customHeight="1">
      <c r="A81" s="48"/>
      <c r="B81" s="46"/>
      <c r="C81" s="41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9"/>
      <c r="W81" s="49"/>
      <c r="X81" s="49"/>
      <c r="Y81" s="49"/>
      <c r="Z81" s="49"/>
      <c r="AA81" s="49"/>
      <c r="AB81" s="49"/>
      <c r="AC81" s="49"/>
      <c r="AD81" s="46"/>
      <c r="AE81" s="46"/>
      <c r="AF81" s="46"/>
      <c r="AG81" s="46"/>
      <c r="AH81" s="46"/>
      <c r="AI81" s="46"/>
      <c r="AJ81" s="46"/>
      <c r="AK81" s="46"/>
      <c r="AL81" s="46"/>
      <c r="AM81" s="46"/>
    </row>
    <row r="82" ht="15.75" customHeight="1">
      <c r="A82" s="48"/>
      <c r="B82" s="46"/>
      <c r="C82" s="41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9"/>
      <c r="W82" s="49"/>
      <c r="X82" s="49"/>
      <c r="Y82" s="49"/>
      <c r="Z82" s="49"/>
      <c r="AA82" s="49"/>
      <c r="AB82" s="49"/>
      <c r="AC82" s="49"/>
      <c r="AD82" s="46"/>
      <c r="AE82" s="46"/>
      <c r="AF82" s="46"/>
      <c r="AG82" s="46"/>
      <c r="AH82" s="46"/>
      <c r="AI82" s="46"/>
      <c r="AJ82" s="46"/>
      <c r="AK82" s="46"/>
      <c r="AL82" s="46"/>
      <c r="AM82" s="46"/>
    </row>
    <row r="83" ht="15.75" customHeight="1">
      <c r="A83" s="48"/>
      <c r="B83" s="46"/>
      <c r="C83" s="41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9"/>
      <c r="W83" s="49"/>
      <c r="X83" s="49"/>
      <c r="Y83" s="49"/>
      <c r="Z83" s="49"/>
      <c r="AA83" s="49"/>
      <c r="AB83" s="49"/>
      <c r="AC83" s="49"/>
      <c r="AD83" s="46"/>
      <c r="AE83" s="46"/>
      <c r="AF83" s="46"/>
      <c r="AG83" s="46"/>
      <c r="AH83" s="46"/>
      <c r="AI83" s="46"/>
      <c r="AJ83" s="46"/>
      <c r="AK83" s="46"/>
      <c r="AL83" s="46"/>
      <c r="AM83" s="46"/>
    </row>
    <row r="84" ht="15.75" customHeight="1">
      <c r="A84" s="48"/>
      <c r="B84" s="46"/>
      <c r="C84" s="41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9"/>
      <c r="W84" s="49"/>
      <c r="X84" s="49"/>
      <c r="Y84" s="49"/>
      <c r="Z84" s="49"/>
      <c r="AA84" s="49"/>
      <c r="AB84" s="49"/>
      <c r="AC84" s="49"/>
      <c r="AD84" s="46"/>
      <c r="AE84" s="46"/>
      <c r="AF84" s="46"/>
      <c r="AG84" s="46"/>
      <c r="AH84" s="46"/>
      <c r="AI84" s="46"/>
      <c r="AJ84" s="46"/>
      <c r="AK84" s="46"/>
      <c r="AL84" s="46"/>
      <c r="AM84" s="46"/>
    </row>
    <row r="85" ht="15.75" customHeight="1">
      <c r="A85" s="48"/>
      <c r="B85" s="46"/>
      <c r="C85" s="41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9"/>
      <c r="W85" s="49"/>
      <c r="X85" s="49"/>
      <c r="Y85" s="49"/>
      <c r="Z85" s="49"/>
      <c r="AA85" s="49"/>
      <c r="AB85" s="49"/>
      <c r="AC85" s="49"/>
      <c r="AD85" s="46"/>
      <c r="AE85" s="46"/>
      <c r="AF85" s="46"/>
      <c r="AG85" s="46"/>
      <c r="AH85" s="46"/>
      <c r="AI85" s="46"/>
      <c r="AJ85" s="46"/>
      <c r="AK85" s="46"/>
      <c r="AL85" s="46"/>
      <c r="AM85" s="46"/>
    </row>
    <row r="86" ht="15.75" customHeight="1">
      <c r="A86" s="48"/>
      <c r="B86" s="46"/>
      <c r="C86" s="41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9"/>
      <c r="W86" s="49"/>
      <c r="X86" s="49"/>
      <c r="Y86" s="49"/>
      <c r="Z86" s="49"/>
      <c r="AA86" s="49"/>
      <c r="AB86" s="49"/>
      <c r="AC86" s="49"/>
      <c r="AD86" s="46"/>
      <c r="AE86" s="46"/>
      <c r="AF86" s="46"/>
      <c r="AG86" s="46"/>
      <c r="AH86" s="46"/>
      <c r="AI86" s="46"/>
      <c r="AJ86" s="46"/>
      <c r="AK86" s="46"/>
      <c r="AL86" s="46"/>
      <c r="AM86" s="46"/>
    </row>
    <row r="87" ht="15.75" customHeight="1">
      <c r="A87" s="48"/>
      <c r="B87" s="46"/>
      <c r="C87" s="41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9"/>
      <c r="W87" s="49"/>
      <c r="X87" s="49"/>
      <c r="Y87" s="49"/>
      <c r="Z87" s="49"/>
      <c r="AA87" s="49"/>
      <c r="AB87" s="49"/>
      <c r="AC87" s="49"/>
      <c r="AD87" s="46"/>
      <c r="AE87" s="46"/>
      <c r="AF87" s="46"/>
      <c r="AG87" s="46"/>
      <c r="AH87" s="46"/>
      <c r="AI87" s="46"/>
      <c r="AJ87" s="46"/>
      <c r="AK87" s="46"/>
      <c r="AL87" s="46"/>
      <c r="AM87" s="46"/>
    </row>
    <row r="88" ht="15.75" customHeight="1">
      <c r="A88" s="48"/>
      <c r="B88" s="46"/>
      <c r="C88" s="41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9"/>
      <c r="W88" s="49"/>
      <c r="X88" s="49"/>
      <c r="Y88" s="49"/>
      <c r="Z88" s="49"/>
      <c r="AA88" s="49"/>
      <c r="AB88" s="49"/>
      <c r="AC88" s="49"/>
      <c r="AD88" s="46"/>
      <c r="AE88" s="46"/>
      <c r="AF88" s="46"/>
      <c r="AG88" s="46"/>
      <c r="AH88" s="46"/>
      <c r="AI88" s="46"/>
      <c r="AJ88" s="46"/>
      <c r="AK88" s="46"/>
      <c r="AL88" s="46"/>
      <c r="AM88" s="46"/>
    </row>
    <row r="89" ht="15.75" customHeight="1">
      <c r="A89" s="48"/>
      <c r="B89" s="46"/>
      <c r="C89" s="41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9"/>
      <c r="W89" s="49"/>
      <c r="X89" s="49"/>
      <c r="Y89" s="49"/>
      <c r="Z89" s="49"/>
      <c r="AA89" s="49"/>
      <c r="AB89" s="49"/>
      <c r="AC89" s="49"/>
      <c r="AD89" s="46"/>
      <c r="AE89" s="46"/>
      <c r="AF89" s="46"/>
      <c r="AG89" s="46"/>
      <c r="AH89" s="46"/>
      <c r="AI89" s="46"/>
      <c r="AJ89" s="46"/>
      <c r="AK89" s="46"/>
      <c r="AL89" s="46"/>
      <c r="AM89" s="46"/>
    </row>
    <row r="90" ht="15.75" customHeight="1">
      <c r="A90" s="48"/>
      <c r="B90" s="46"/>
      <c r="C90" s="41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9"/>
      <c r="W90" s="49"/>
      <c r="X90" s="49"/>
      <c r="Y90" s="49"/>
      <c r="Z90" s="49"/>
      <c r="AA90" s="49"/>
      <c r="AB90" s="49"/>
      <c r="AC90" s="49"/>
      <c r="AD90" s="46"/>
      <c r="AE90" s="46"/>
      <c r="AF90" s="46"/>
      <c r="AG90" s="46"/>
      <c r="AH90" s="46"/>
      <c r="AI90" s="46"/>
      <c r="AJ90" s="46"/>
      <c r="AK90" s="46"/>
      <c r="AL90" s="46"/>
      <c r="AM90" s="46"/>
    </row>
    <row r="91" ht="15.75" customHeight="1">
      <c r="A91" s="48"/>
      <c r="B91" s="46"/>
      <c r="C91" s="41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9"/>
      <c r="W91" s="49"/>
      <c r="X91" s="49"/>
      <c r="Y91" s="49"/>
      <c r="Z91" s="49"/>
      <c r="AA91" s="49"/>
      <c r="AB91" s="49"/>
      <c r="AC91" s="49"/>
      <c r="AD91" s="46"/>
      <c r="AE91" s="46"/>
      <c r="AF91" s="46"/>
      <c r="AG91" s="46"/>
      <c r="AH91" s="46"/>
      <c r="AI91" s="46"/>
      <c r="AJ91" s="46"/>
      <c r="AK91" s="46"/>
      <c r="AL91" s="46"/>
      <c r="AM91" s="46"/>
    </row>
    <row r="92" ht="15.75" customHeight="1">
      <c r="A92" s="48"/>
      <c r="B92" s="46"/>
      <c r="C92" s="41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9"/>
      <c r="W92" s="49"/>
      <c r="X92" s="49"/>
      <c r="Y92" s="49"/>
      <c r="Z92" s="49"/>
      <c r="AA92" s="49"/>
      <c r="AB92" s="49"/>
      <c r="AC92" s="49"/>
      <c r="AD92" s="46"/>
      <c r="AE92" s="46"/>
      <c r="AF92" s="46"/>
      <c r="AG92" s="46"/>
      <c r="AH92" s="46"/>
      <c r="AI92" s="46"/>
      <c r="AJ92" s="46"/>
      <c r="AK92" s="46"/>
      <c r="AL92" s="46"/>
      <c r="AM92" s="46"/>
    </row>
    <row r="93" ht="15.75" customHeight="1">
      <c r="A93" s="48"/>
      <c r="B93" s="46"/>
      <c r="C93" s="41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9"/>
      <c r="W93" s="49"/>
      <c r="X93" s="49"/>
      <c r="Y93" s="49"/>
      <c r="Z93" s="49"/>
      <c r="AA93" s="49"/>
      <c r="AB93" s="49"/>
      <c r="AC93" s="49"/>
      <c r="AD93" s="46"/>
      <c r="AE93" s="46"/>
      <c r="AF93" s="46"/>
      <c r="AG93" s="46"/>
      <c r="AH93" s="46"/>
      <c r="AI93" s="46"/>
      <c r="AJ93" s="46"/>
      <c r="AK93" s="46"/>
      <c r="AL93" s="46"/>
      <c r="AM93" s="46"/>
    </row>
    <row r="94" ht="15.75" customHeight="1">
      <c r="A94" s="48"/>
      <c r="B94" s="46"/>
      <c r="C94" s="41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9"/>
      <c r="W94" s="49"/>
      <c r="X94" s="49"/>
      <c r="Y94" s="49"/>
      <c r="Z94" s="49"/>
      <c r="AA94" s="49"/>
      <c r="AB94" s="49"/>
      <c r="AC94" s="49"/>
      <c r="AD94" s="46"/>
      <c r="AE94" s="46"/>
      <c r="AF94" s="46"/>
      <c r="AG94" s="46"/>
      <c r="AH94" s="46"/>
      <c r="AI94" s="46"/>
      <c r="AJ94" s="46"/>
      <c r="AK94" s="46"/>
      <c r="AL94" s="46"/>
      <c r="AM94" s="46"/>
    </row>
    <row r="95" ht="15.75" customHeight="1">
      <c r="A95" s="48"/>
      <c r="B95" s="46"/>
      <c r="C95" s="41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9"/>
      <c r="W95" s="49"/>
      <c r="X95" s="49"/>
      <c r="Y95" s="49"/>
      <c r="Z95" s="49"/>
      <c r="AA95" s="49"/>
      <c r="AB95" s="49"/>
      <c r="AC95" s="49"/>
      <c r="AD95" s="46"/>
      <c r="AE95" s="46"/>
      <c r="AF95" s="46"/>
      <c r="AG95" s="46"/>
      <c r="AH95" s="46"/>
      <c r="AI95" s="46"/>
      <c r="AJ95" s="46"/>
      <c r="AK95" s="46"/>
      <c r="AL95" s="46"/>
      <c r="AM95" s="46"/>
    </row>
    <row r="96" ht="15.75" customHeight="1">
      <c r="A96" s="48"/>
      <c r="B96" s="46"/>
      <c r="C96" s="41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9"/>
      <c r="W96" s="49"/>
      <c r="X96" s="49"/>
      <c r="Y96" s="49"/>
      <c r="Z96" s="49"/>
      <c r="AA96" s="49"/>
      <c r="AB96" s="49"/>
      <c r="AC96" s="49"/>
      <c r="AD96" s="46"/>
      <c r="AE96" s="46"/>
      <c r="AF96" s="46"/>
      <c r="AG96" s="46"/>
      <c r="AH96" s="46"/>
      <c r="AI96" s="46"/>
      <c r="AJ96" s="46"/>
      <c r="AK96" s="46"/>
      <c r="AL96" s="46"/>
      <c r="AM96" s="46"/>
    </row>
    <row r="97" ht="15.75" customHeight="1">
      <c r="A97" s="48"/>
      <c r="B97" s="46"/>
      <c r="C97" s="41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9"/>
      <c r="W97" s="49"/>
      <c r="X97" s="49"/>
      <c r="Y97" s="49"/>
      <c r="Z97" s="49"/>
      <c r="AA97" s="49"/>
      <c r="AB97" s="49"/>
      <c r="AC97" s="49"/>
      <c r="AD97" s="46"/>
      <c r="AE97" s="46"/>
      <c r="AF97" s="46"/>
      <c r="AG97" s="46"/>
      <c r="AH97" s="46"/>
      <c r="AI97" s="46"/>
      <c r="AJ97" s="46"/>
      <c r="AK97" s="46"/>
      <c r="AL97" s="46"/>
      <c r="AM97" s="46"/>
    </row>
    <row r="98" ht="15.75" customHeight="1">
      <c r="A98" s="48"/>
      <c r="B98" s="46"/>
      <c r="C98" s="41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9"/>
      <c r="W98" s="49"/>
      <c r="X98" s="49"/>
      <c r="Y98" s="49"/>
      <c r="Z98" s="49"/>
      <c r="AA98" s="49"/>
      <c r="AB98" s="49"/>
      <c r="AC98" s="49"/>
      <c r="AD98" s="46"/>
      <c r="AE98" s="46"/>
      <c r="AF98" s="46"/>
      <c r="AG98" s="46"/>
      <c r="AH98" s="46"/>
      <c r="AI98" s="46"/>
      <c r="AJ98" s="46"/>
      <c r="AK98" s="46"/>
      <c r="AL98" s="46"/>
      <c r="AM98" s="46"/>
    </row>
    <row r="99" ht="15.75" customHeight="1">
      <c r="A99" s="48"/>
      <c r="B99" s="46"/>
      <c r="C99" s="41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9"/>
      <c r="W99" s="49"/>
      <c r="X99" s="49"/>
      <c r="Y99" s="49"/>
      <c r="Z99" s="49"/>
      <c r="AA99" s="49"/>
      <c r="AB99" s="49"/>
      <c r="AC99" s="49"/>
      <c r="AD99" s="46"/>
      <c r="AE99" s="46"/>
      <c r="AF99" s="46"/>
      <c r="AG99" s="46"/>
      <c r="AH99" s="46"/>
      <c r="AI99" s="46"/>
      <c r="AJ99" s="46"/>
      <c r="AK99" s="46"/>
      <c r="AL99" s="46"/>
      <c r="AM99" s="46"/>
    </row>
    <row r="100" ht="15.75" customHeight="1">
      <c r="A100" s="48"/>
      <c r="B100" s="46"/>
      <c r="C100" s="41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9"/>
      <c r="W100" s="49"/>
      <c r="X100" s="49"/>
      <c r="Y100" s="49"/>
      <c r="Z100" s="49"/>
      <c r="AA100" s="49"/>
      <c r="AB100" s="49"/>
      <c r="AC100" s="49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</row>
    <row r="101" ht="15.75" customHeight="1">
      <c r="A101" s="48"/>
      <c r="B101" s="46"/>
      <c r="C101" s="41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9"/>
      <c r="W101" s="49"/>
      <c r="X101" s="49"/>
      <c r="Y101" s="49"/>
      <c r="Z101" s="49"/>
      <c r="AA101" s="49"/>
      <c r="AB101" s="49"/>
      <c r="AC101" s="49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</row>
    <row r="102" ht="15.75" customHeight="1">
      <c r="A102" s="48"/>
      <c r="B102" s="46"/>
      <c r="C102" s="41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9"/>
      <c r="W102" s="49"/>
      <c r="X102" s="49"/>
      <c r="Y102" s="49"/>
      <c r="Z102" s="49"/>
      <c r="AA102" s="49"/>
      <c r="AB102" s="49"/>
      <c r="AC102" s="49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</row>
    <row r="103" ht="15.75" customHeight="1">
      <c r="A103" s="48"/>
      <c r="B103" s="46"/>
      <c r="C103" s="41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9"/>
      <c r="W103" s="49"/>
      <c r="X103" s="49"/>
      <c r="Y103" s="49"/>
      <c r="Z103" s="49"/>
      <c r="AA103" s="49"/>
      <c r="AB103" s="49"/>
      <c r="AC103" s="49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</row>
    <row r="104" ht="15.75" customHeight="1">
      <c r="A104" s="48"/>
      <c r="B104" s="46"/>
      <c r="C104" s="41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9"/>
      <c r="W104" s="49"/>
      <c r="X104" s="49"/>
      <c r="Y104" s="49"/>
      <c r="Z104" s="49"/>
      <c r="AA104" s="49"/>
      <c r="AB104" s="49"/>
      <c r="AC104" s="49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</row>
    <row r="105" ht="15.75" customHeight="1">
      <c r="A105" s="48"/>
      <c r="B105" s="46"/>
      <c r="C105" s="41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9"/>
      <c r="W105" s="49"/>
      <c r="X105" s="49"/>
      <c r="Y105" s="49"/>
      <c r="Z105" s="49"/>
      <c r="AA105" s="49"/>
      <c r="AB105" s="49"/>
      <c r="AC105" s="49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</row>
    <row r="106" ht="15.75" customHeight="1">
      <c r="A106" s="48"/>
      <c r="B106" s="46"/>
      <c r="C106" s="41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9"/>
      <c r="W106" s="49"/>
      <c r="X106" s="49"/>
      <c r="Y106" s="49"/>
      <c r="Z106" s="49"/>
      <c r="AA106" s="49"/>
      <c r="AB106" s="49"/>
      <c r="AC106" s="49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</row>
    <row r="107" ht="15.75" customHeight="1">
      <c r="A107" s="48"/>
      <c r="B107" s="46"/>
      <c r="C107" s="41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9"/>
      <c r="W107" s="49"/>
      <c r="X107" s="49"/>
      <c r="Y107" s="49"/>
      <c r="Z107" s="49"/>
      <c r="AA107" s="49"/>
      <c r="AB107" s="49"/>
      <c r="AC107" s="49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</row>
    <row r="108" ht="15.75" customHeight="1">
      <c r="A108" s="48"/>
      <c r="B108" s="46"/>
      <c r="C108" s="41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9"/>
      <c r="W108" s="49"/>
      <c r="X108" s="49"/>
      <c r="Y108" s="49"/>
      <c r="Z108" s="49"/>
      <c r="AA108" s="49"/>
      <c r="AB108" s="49"/>
      <c r="AC108" s="49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</row>
    <row r="109" ht="15.75" customHeight="1">
      <c r="A109" s="48"/>
      <c r="B109" s="46"/>
      <c r="C109" s="41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9"/>
      <c r="W109" s="49"/>
      <c r="X109" s="49"/>
      <c r="Y109" s="49"/>
      <c r="Z109" s="49"/>
      <c r="AA109" s="49"/>
      <c r="AB109" s="49"/>
      <c r="AC109" s="49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</row>
    <row r="110" ht="15.75" customHeight="1">
      <c r="A110" s="48"/>
      <c r="B110" s="46"/>
      <c r="C110" s="41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9"/>
      <c r="W110" s="49"/>
      <c r="X110" s="49"/>
      <c r="Y110" s="49"/>
      <c r="Z110" s="49"/>
      <c r="AA110" s="49"/>
      <c r="AB110" s="49"/>
      <c r="AC110" s="49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ht="15.75" customHeight="1">
      <c r="A111" s="48"/>
      <c r="B111" s="46"/>
      <c r="C111" s="41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9"/>
      <c r="W111" s="49"/>
      <c r="X111" s="49"/>
      <c r="Y111" s="49"/>
      <c r="Z111" s="49"/>
      <c r="AA111" s="49"/>
      <c r="AB111" s="49"/>
      <c r="AC111" s="49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</row>
    <row r="112" ht="15.75" customHeight="1">
      <c r="A112" s="48"/>
      <c r="B112" s="46"/>
      <c r="C112" s="41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9"/>
      <c r="W112" s="49"/>
      <c r="X112" s="49"/>
      <c r="Y112" s="49"/>
      <c r="Z112" s="49"/>
      <c r="AA112" s="49"/>
      <c r="AB112" s="49"/>
      <c r="AC112" s="49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ht="15.75" customHeight="1">
      <c r="A113" s="48"/>
      <c r="B113" s="46"/>
      <c r="C113" s="41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9"/>
      <c r="W113" s="49"/>
      <c r="X113" s="49"/>
      <c r="Y113" s="49"/>
      <c r="Z113" s="49"/>
      <c r="AA113" s="49"/>
      <c r="AB113" s="49"/>
      <c r="AC113" s="49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</row>
    <row r="114" ht="15.75" customHeight="1">
      <c r="A114" s="48"/>
      <c r="B114" s="46"/>
      <c r="C114" s="41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9"/>
      <c r="W114" s="49"/>
      <c r="X114" s="49"/>
      <c r="Y114" s="49"/>
      <c r="Z114" s="49"/>
      <c r="AA114" s="49"/>
      <c r="AB114" s="49"/>
      <c r="AC114" s="49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</row>
    <row r="115" ht="15.75" customHeight="1">
      <c r="A115" s="48"/>
      <c r="B115" s="46"/>
      <c r="C115" s="41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9"/>
      <c r="W115" s="49"/>
      <c r="X115" s="49"/>
      <c r="Y115" s="49"/>
      <c r="Z115" s="49"/>
      <c r="AA115" s="49"/>
      <c r="AB115" s="49"/>
      <c r="AC115" s="49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</row>
    <row r="116" ht="15.75" customHeight="1">
      <c r="A116" s="48"/>
      <c r="B116" s="46"/>
      <c r="C116" s="41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9"/>
      <c r="W116" s="49"/>
      <c r="X116" s="49"/>
      <c r="Y116" s="49"/>
      <c r="Z116" s="49"/>
      <c r="AA116" s="49"/>
      <c r="AB116" s="49"/>
      <c r="AC116" s="49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</row>
    <row r="117" ht="15.75" customHeight="1">
      <c r="A117" s="48"/>
      <c r="B117" s="46"/>
      <c r="C117" s="41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9"/>
      <c r="W117" s="49"/>
      <c r="X117" s="49"/>
      <c r="Y117" s="49"/>
      <c r="Z117" s="49"/>
      <c r="AA117" s="49"/>
      <c r="AB117" s="49"/>
      <c r="AC117" s="49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</row>
    <row r="118" ht="15.75" customHeight="1">
      <c r="A118" s="48"/>
      <c r="B118" s="46"/>
      <c r="C118" s="41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9"/>
      <c r="W118" s="49"/>
      <c r="X118" s="49"/>
      <c r="Y118" s="49"/>
      <c r="Z118" s="49"/>
      <c r="AA118" s="49"/>
      <c r="AB118" s="49"/>
      <c r="AC118" s="49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</row>
    <row r="119" ht="15.75" customHeight="1">
      <c r="A119" s="48"/>
      <c r="B119" s="46"/>
      <c r="C119" s="41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9"/>
      <c r="W119" s="49"/>
      <c r="X119" s="49"/>
      <c r="Y119" s="49"/>
      <c r="Z119" s="49"/>
      <c r="AA119" s="49"/>
      <c r="AB119" s="49"/>
      <c r="AC119" s="49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</row>
    <row r="120" ht="15.75" customHeight="1">
      <c r="A120" s="48"/>
      <c r="B120" s="46"/>
      <c r="C120" s="41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9"/>
      <c r="W120" s="49"/>
      <c r="X120" s="49"/>
      <c r="Y120" s="49"/>
      <c r="Z120" s="49"/>
      <c r="AA120" s="49"/>
      <c r="AB120" s="49"/>
      <c r="AC120" s="49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</row>
    <row r="121" ht="15.75" customHeight="1">
      <c r="A121" s="48"/>
      <c r="B121" s="46"/>
      <c r="C121" s="41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9"/>
      <c r="W121" s="49"/>
      <c r="X121" s="49"/>
      <c r="Y121" s="49"/>
      <c r="Z121" s="49"/>
      <c r="AA121" s="49"/>
      <c r="AB121" s="49"/>
      <c r="AC121" s="49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</row>
    <row r="122" ht="15.75" customHeight="1">
      <c r="A122" s="48"/>
      <c r="B122" s="46"/>
      <c r="C122" s="41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9"/>
      <c r="W122" s="49"/>
      <c r="X122" s="49"/>
      <c r="Y122" s="49"/>
      <c r="Z122" s="49"/>
      <c r="AA122" s="49"/>
      <c r="AB122" s="49"/>
      <c r="AC122" s="49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</row>
    <row r="123" ht="15.75" customHeight="1">
      <c r="A123" s="48"/>
      <c r="B123" s="46"/>
      <c r="C123" s="41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9"/>
      <c r="W123" s="49"/>
      <c r="X123" s="49"/>
      <c r="Y123" s="49"/>
      <c r="Z123" s="49"/>
      <c r="AA123" s="49"/>
      <c r="AB123" s="49"/>
      <c r="AC123" s="49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</row>
    <row r="124" ht="15.75" customHeight="1">
      <c r="A124" s="48"/>
      <c r="B124" s="46"/>
      <c r="C124" s="41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9"/>
      <c r="W124" s="49"/>
      <c r="X124" s="49"/>
      <c r="Y124" s="49"/>
      <c r="Z124" s="49"/>
      <c r="AA124" s="49"/>
      <c r="AB124" s="49"/>
      <c r="AC124" s="49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</row>
    <row r="125" ht="15.75" customHeight="1">
      <c r="A125" s="48"/>
      <c r="B125" s="46"/>
      <c r="C125" s="41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9"/>
      <c r="W125" s="49"/>
      <c r="X125" s="49"/>
      <c r="Y125" s="49"/>
      <c r="Z125" s="49"/>
      <c r="AA125" s="49"/>
      <c r="AB125" s="49"/>
      <c r="AC125" s="49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</row>
    <row r="126" ht="15.75" customHeight="1">
      <c r="A126" s="48"/>
      <c r="B126" s="46"/>
      <c r="C126" s="41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9"/>
      <c r="W126" s="49"/>
      <c r="X126" s="49"/>
      <c r="Y126" s="49"/>
      <c r="Z126" s="49"/>
      <c r="AA126" s="49"/>
      <c r="AB126" s="49"/>
      <c r="AC126" s="49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</row>
    <row r="127" ht="15.75" customHeight="1">
      <c r="A127" s="48"/>
      <c r="B127" s="46"/>
      <c r="C127" s="41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9"/>
      <c r="W127" s="49"/>
      <c r="X127" s="49"/>
      <c r="Y127" s="49"/>
      <c r="Z127" s="49"/>
      <c r="AA127" s="49"/>
      <c r="AB127" s="49"/>
      <c r="AC127" s="49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</row>
    <row r="128" ht="15.75" customHeight="1">
      <c r="A128" s="48"/>
      <c r="B128" s="46"/>
      <c r="C128" s="41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9"/>
      <c r="W128" s="49"/>
      <c r="X128" s="49"/>
      <c r="Y128" s="49"/>
      <c r="Z128" s="49"/>
      <c r="AA128" s="49"/>
      <c r="AB128" s="49"/>
      <c r="AC128" s="49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</row>
    <row r="129" ht="15.75" customHeight="1">
      <c r="A129" s="48"/>
      <c r="B129" s="46"/>
      <c r="C129" s="41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9"/>
      <c r="W129" s="49"/>
      <c r="X129" s="49"/>
      <c r="Y129" s="49"/>
      <c r="Z129" s="49"/>
      <c r="AA129" s="49"/>
      <c r="AB129" s="49"/>
      <c r="AC129" s="49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</row>
    <row r="130" ht="15.75" customHeight="1">
      <c r="A130" s="48"/>
      <c r="B130" s="46"/>
      <c r="C130" s="41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9"/>
      <c r="W130" s="49"/>
      <c r="X130" s="49"/>
      <c r="Y130" s="49"/>
      <c r="Z130" s="49"/>
      <c r="AA130" s="49"/>
      <c r="AB130" s="49"/>
      <c r="AC130" s="49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</row>
    <row r="131" ht="15.75" customHeight="1">
      <c r="A131" s="48"/>
      <c r="B131" s="46"/>
      <c r="C131" s="4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9"/>
      <c r="W131" s="49"/>
      <c r="X131" s="49"/>
      <c r="Y131" s="49"/>
      <c r="Z131" s="49"/>
      <c r="AA131" s="49"/>
      <c r="AB131" s="49"/>
      <c r="AC131" s="49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ht="15.75" customHeight="1">
      <c r="A132" s="48"/>
      <c r="B132" s="46"/>
      <c r="C132" s="41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9"/>
      <c r="W132" s="49"/>
      <c r="X132" s="49"/>
      <c r="Y132" s="49"/>
      <c r="Z132" s="49"/>
      <c r="AA132" s="49"/>
      <c r="AB132" s="49"/>
      <c r="AC132" s="49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ht="15.75" customHeight="1">
      <c r="A133" s="48"/>
      <c r="B133" s="46"/>
      <c r="C133" s="41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9"/>
      <c r="W133" s="49"/>
      <c r="X133" s="49"/>
      <c r="Y133" s="49"/>
      <c r="Z133" s="49"/>
      <c r="AA133" s="49"/>
      <c r="AB133" s="49"/>
      <c r="AC133" s="49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</row>
    <row r="134" ht="15.75" customHeight="1">
      <c r="A134" s="48"/>
      <c r="B134" s="46"/>
      <c r="C134" s="41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9"/>
      <c r="W134" s="49"/>
      <c r="X134" s="49"/>
      <c r="Y134" s="49"/>
      <c r="Z134" s="49"/>
      <c r="AA134" s="49"/>
      <c r="AB134" s="49"/>
      <c r="AC134" s="49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</row>
    <row r="135" ht="15.75" customHeight="1">
      <c r="A135" s="48"/>
      <c r="B135" s="46"/>
      <c r="C135" s="41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9"/>
      <c r="W135" s="49"/>
      <c r="X135" s="49"/>
      <c r="Y135" s="49"/>
      <c r="Z135" s="49"/>
      <c r="AA135" s="49"/>
      <c r="AB135" s="49"/>
      <c r="AC135" s="49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</row>
    <row r="136" ht="15.75" customHeight="1">
      <c r="A136" s="48"/>
      <c r="B136" s="46"/>
      <c r="C136" s="41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9"/>
      <c r="W136" s="49"/>
      <c r="X136" s="49"/>
      <c r="Y136" s="49"/>
      <c r="Z136" s="49"/>
      <c r="AA136" s="49"/>
      <c r="AB136" s="49"/>
      <c r="AC136" s="49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</row>
    <row r="137" ht="15.75" customHeight="1">
      <c r="A137" s="48"/>
      <c r="B137" s="46"/>
      <c r="C137" s="41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9"/>
      <c r="W137" s="49"/>
      <c r="X137" s="49"/>
      <c r="Y137" s="49"/>
      <c r="Z137" s="49"/>
      <c r="AA137" s="49"/>
      <c r="AB137" s="49"/>
      <c r="AC137" s="49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</row>
    <row r="138" ht="15.75" customHeight="1">
      <c r="A138" s="48"/>
      <c r="B138" s="46"/>
      <c r="C138" s="41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9"/>
      <c r="W138" s="49"/>
      <c r="X138" s="49"/>
      <c r="Y138" s="49"/>
      <c r="Z138" s="49"/>
      <c r="AA138" s="49"/>
      <c r="AB138" s="49"/>
      <c r="AC138" s="49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</row>
    <row r="139" ht="15.75" customHeight="1">
      <c r="A139" s="48"/>
      <c r="B139" s="46"/>
      <c r="C139" s="41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9"/>
      <c r="W139" s="49"/>
      <c r="X139" s="49"/>
      <c r="Y139" s="49"/>
      <c r="Z139" s="49"/>
      <c r="AA139" s="49"/>
      <c r="AB139" s="49"/>
      <c r="AC139" s="49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</row>
    <row r="140" ht="15.75" customHeight="1">
      <c r="A140" s="48"/>
      <c r="B140" s="46"/>
      <c r="C140" s="41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9"/>
      <c r="W140" s="49"/>
      <c r="X140" s="49"/>
      <c r="Y140" s="49"/>
      <c r="Z140" s="49"/>
      <c r="AA140" s="49"/>
      <c r="AB140" s="49"/>
      <c r="AC140" s="49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</row>
    <row r="141" ht="15.75" customHeight="1">
      <c r="A141" s="48"/>
      <c r="B141" s="46"/>
      <c r="C141" s="41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9"/>
      <c r="W141" s="49"/>
      <c r="X141" s="49"/>
      <c r="Y141" s="49"/>
      <c r="Z141" s="49"/>
      <c r="AA141" s="49"/>
      <c r="AB141" s="49"/>
      <c r="AC141" s="49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</row>
    <row r="142" ht="15.75" customHeight="1">
      <c r="A142" s="48"/>
      <c r="B142" s="46"/>
      <c r="C142" s="41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9"/>
      <c r="W142" s="49"/>
      <c r="X142" s="49"/>
      <c r="Y142" s="49"/>
      <c r="Z142" s="49"/>
      <c r="AA142" s="49"/>
      <c r="AB142" s="49"/>
      <c r="AC142" s="49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</row>
    <row r="143" ht="15.75" customHeight="1">
      <c r="A143" s="48"/>
      <c r="B143" s="46"/>
      <c r="C143" s="41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9"/>
      <c r="W143" s="49"/>
      <c r="X143" s="49"/>
      <c r="Y143" s="49"/>
      <c r="Z143" s="49"/>
      <c r="AA143" s="49"/>
      <c r="AB143" s="49"/>
      <c r="AC143" s="49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</row>
    <row r="144" ht="15.75" customHeight="1">
      <c r="A144" s="48"/>
      <c r="B144" s="46"/>
      <c r="C144" s="41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9"/>
      <c r="W144" s="49"/>
      <c r="X144" s="49"/>
      <c r="Y144" s="49"/>
      <c r="Z144" s="49"/>
      <c r="AA144" s="49"/>
      <c r="AB144" s="49"/>
      <c r="AC144" s="49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</row>
    <row r="145" ht="15.75" customHeight="1">
      <c r="A145" s="48"/>
      <c r="B145" s="46"/>
      <c r="C145" s="41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9"/>
      <c r="W145" s="49"/>
      <c r="X145" s="49"/>
      <c r="Y145" s="49"/>
      <c r="Z145" s="49"/>
      <c r="AA145" s="49"/>
      <c r="AB145" s="49"/>
      <c r="AC145" s="49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</row>
    <row r="146" ht="15.75" customHeight="1">
      <c r="A146" s="48"/>
      <c r="B146" s="46"/>
      <c r="C146" s="41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9"/>
      <c r="W146" s="49"/>
      <c r="X146" s="49"/>
      <c r="Y146" s="49"/>
      <c r="Z146" s="49"/>
      <c r="AA146" s="49"/>
      <c r="AB146" s="49"/>
      <c r="AC146" s="49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</row>
    <row r="147" ht="15.75" customHeight="1">
      <c r="A147" s="48"/>
      <c r="B147" s="46"/>
      <c r="C147" s="41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9"/>
      <c r="W147" s="49"/>
      <c r="X147" s="49"/>
      <c r="Y147" s="49"/>
      <c r="Z147" s="49"/>
      <c r="AA147" s="49"/>
      <c r="AB147" s="49"/>
      <c r="AC147" s="49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</row>
    <row r="148" ht="15.75" customHeight="1">
      <c r="A148" s="48"/>
      <c r="B148" s="46"/>
      <c r="C148" s="41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9"/>
      <c r="W148" s="49"/>
      <c r="X148" s="49"/>
      <c r="Y148" s="49"/>
      <c r="Z148" s="49"/>
      <c r="AA148" s="49"/>
      <c r="AB148" s="49"/>
      <c r="AC148" s="49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ht="15.75" customHeight="1">
      <c r="A149" s="48"/>
      <c r="B149" s="46"/>
      <c r="C149" s="41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9"/>
      <c r="W149" s="49"/>
      <c r="X149" s="49"/>
      <c r="Y149" s="49"/>
      <c r="Z149" s="49"/>
      <c r="AA149" s="49"/>
      <c r="AB149" s="49"/>
      <c r="AC149" s="49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</row>
    <row r="150" ht="15.75" customHeight="1">
      <c r="A150" s="48"/>
      <c r="B150" s="46"/>
      <c r="C150" s="41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9"/>
      <c r="W150" s="49"/>
      <c r="X150" s="49"/>
      <c r="Y150" s="49"/>
      <c r="Z150" s="49"/>
      <c r="AA150" s="49"/>
      <c r="AB150" s="49"/>
      <c r="AC150" s="49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</row>
    <row r="151" ht="15.75" customHeight="1">
      <c r="A151" s="48"/>
      <c r="B151" s="46"/>
      <c r="C151" s="41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9"/>
      <c r="W151" s="49"/>
      <c r="X151" s="49"/>
      <c r="Y151" s="49"/>
      <c r="Z151" s="49"/>
      <c r="AA151" s="49"/>
      <c r="AB151" s="49"/>
      <c r="AC151" s="49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</row>
    <row r="152" ht="15.75" customHeight="1">
      <c r="A152" s="48"/>
      <c r="B152" s="46"/>
      <c r="C152" s="41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9"/>
      <c r="W152" s="49"/>
      <c r="X152" s="49"/>
      <c r="Y152" s="49"/>
      <c r="Z152" s="49"/>
      <c r="AA152" s="49"/>
      <c r="AB152" s="49"/>
      <c r="AC152" s="49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</row>
    <row r="153" ht="15.75" customHeight="1">
      <c r="A153" s="48"/>
      <c r="B153" s="46"/>
      <c r="C153" s="41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9"/>
      <c r="W153" s="49"/>
      <c r="X153" s="49"/>
      <c r="Y153" s="49"/>
      <c r="Z153" s="49"/>
      <c r="AA153" s="49"/>
      <c r="AB153" s="49"/>
      <c r="AC153" s="49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</row>
    <row r="154" ht="15.75" customHeight="1">
      <c r="A154" s="48"/>
      <c r="B154" s="46"/>
      <c r="C154" s="41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9"/>
      <c r="W154" s="49"/>
      <c r="X154" s="49"/>
      <c r="Y154" s="49"/>
      <c r="Z154" s="49"/>
      <c r="AA154" s="49"/>
      <c r="AB154" s="49"/>
      <c r="AC154" s="49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ht="15.75" customHeight="1">
      <c r="A155" s="48"/>
      <c r="B155" s="46"/>
      <c r="C155" s="41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9"/>
      <c r="W155" s="49"/>
      <c r="X155" s="49"/>
      <c r="Y155" s="49"/>
      <c r="Z155" s="49"/>
      <c r="AA155" s="49"/>
      <c r="AB155" s="49"/>
      <c r="AC155" s="49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</row>
    <row r="156" ht="15.75" customHeight="1">
      <c r="A156" s="48"/>
      <c r="B156" s="46"/>
      <c r="C156" s="41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9"/>
      <c r="W156" s="49"/>
      <c r="X156" s="49"/>
      <c r="Y156" s="49"/>
      <c r="Z156" s="49"/>
      <c r="AA156" s="49"/>
      <c r="AB156" s="49"/>
      <c r="AC156" s="49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</row>
    <row r="157" ht="15.75" customHeight="1">
      <c r="A157" s="48"/>
      <c r="B157" s="46"/>
      <c r="C157" s="41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9"/>
      <c r="W157" s="49"/>
      <c r="X157" s="49"/>
      <c r="Y157" s="49"/>
      <c r="Z157" s="49"/>
      <c r="AA157" s="49"/>
      <c r="AB157" s="49"/>
      <c r="AC157" s="49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</row>
    <row r="158" ht="15.75" customHeight="1">
      <c r="A158" s="48"/>
      <c r="B158" s="46"/>
      <c r="C158" s="41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9"/>
      <c r="W158" s="49"/>
      <c r="X158" s="49"/>
      <c r="Y158" s="49"/>
      <c r="Z158" s="49"/>
      <c r="AA158" s="49"/>
      <c r="AB158" s="49"/>
      <c r="AC158" s="49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</row>
    <row r="159" ht="15.75" customHeight="1">
      <c r="A159" s="48"/>
      <c r="B159" s="46"/>
      <c r="C159" s="41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9"/>
      <c r="W159" s="49"/>
      <c r="X159" s="49"/>
      <c r="Y159" s="49"/>
      <c r="Z159" s="49"/>
      <c r="AA159" s="49"/>
      <c r="AB159" s="49"/>
      <c r="AC159" s="49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</row>
    <row r="160" ht="15.75" customHeight="1">
      <c r="A160" s="48"/>
      <c r="B160" s="46"/>
      <c r="C160" s="41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9"/>
      <c r="W160" s="49"/>
      <c r="X160" s="49"/>
      <c r="Y160" s="49"/>
      <c r="Z160" s="49"/>
      <c r="AA160" s="49"/>
      <c r="AB160" s="49"/>
      <c r="AC160" s="49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</row>
    <row r="161" ht="15.75" customHeight="1">
      <c r="A161" s="48"/>
      <c r="B161" s="46"/>
      <c r="C161" s="41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9"/>
      <c r="W161" s="49"/>
      <c r="X161" s="49"/>
      <c r="Y161" s="49"/>
      <c r="Z161" s="49"/>
      <c r="AA161" s="49"/>
      <c r="AB161" s="49"/>
      <c r="AC161" s="49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</row>
    <row r="162" ht="15.75" customHeight="1">
      <c r="A162" s="48"/>
      <c r="B162" s="46"/>
      <c r="C162" s="41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9"/>
      <c r="W162" s="49"/>
      <c r="X162" s="49"/>
      <c r="Y162" s="49"/>
      <c r="Z162" s="49"/>
      <c r="AA162" s="49"/>
      <c r="AB162" s="49"/>
      <c r="AC162" s="49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</row>
    <row r="163" ht="15.75" customHeight="1">
      <c r="A163" s="48"/>
      <c r="B163" s="46"/>
      <c r="C163" s="41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9"/>
      <c r="W163" s="49"/>
      <c r="X163" s="49"/>
      <c r="Y163" s="49"/>
      <c r="Z163" s="49"/>
      <c r="AA163" s="49"/>
      <c r="AB163" s="49"/>
      <c r="AC163" s="49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</row>
    <row r="164" ht="15.75" customHeight="1">
      <c r="A164" s="48"/>
      <c r="B164" s="46"/>
      <c r="C164" s="41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9"/>
      <c r="W164" s="49"/>
      <c r="X164" s="49"/>
      <c r="Y164" s="49"/>
      <c r="Z164" s="49"/>
      <c r="AA164" s="49"/>
      <c r="AB164" s="49"/>
      <c r="AC164" s="49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</row>
    <row r="165" ht="15.75" customHeight="1">
      <c r="A165" s="48"/>
      <c r="B165" s="46"/>
      <c r="C165" s="41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9"/>
      <c r="W165" s="49"/>
      <c r="X165" s="49"/>
      <c r="Y165" s="49"/>
      <c r="Z165" s="49"/>
      <c r="AA165" s="49"/>
      <c r="AB165" s="49"/>
      <c r="AC165" s="49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</row>
    <row r="166" ht="15.75" customHeight="1">
      <c r="A166" s="48"/>
      <c r="B166" s="46"/>
      <c r="C166" s="41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9"/>
      <c r="W166" s="49"/>
      <c r="X166" s="49"/>
      <c r="Y166" s="49"/>
      <c r="Z166" s="49"/>
      <c r="AA166" s="49"/>
      <c r="AB166" s="49"/>
      <c r="AC166" s="49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</row>
    <row r="167" ht="15.75" customHeight="1">
      <c r="A167" s="48"/>
      <c r="B167" s="46"/>
      <c r="C167" s="41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9"/>
      <c r="W167" s="49"/>
      <c r="X167" s="49"/>
      <c r="Y167" s="49"/>
      <c r="Z167" s="49"/>
      <c r="AA167" s="49"/>
      <c r="AB167" s="49"/>
      <c r="AC167" s="49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ht="15.75" customHeight="1">
      <c r="A168" s="48"/>
      <c r="B168" s="46"/>
      <c r="C168" s="41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9"/>
      <c r="W168" s="49"/>
      <c r="X168" s="49"/>
      <c r="Y168" s="49"/>
      <c r="Z168" s="49"/>
      <c r="AA168" s="49"/>
      <c r="AB168" s="49"/>
      <c r="AC168" s="49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</row>
    <row r="169" ht="15.75" customHeight="1">
      <c r="A169" s="48"/>
      <c r="B169" s="46"/>
      <c r="C169" s="41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9"/>
      <c r="W169" s="49"/>
      <c r="X169" s="49"/>
      <c r="Y169" s="49"/>
      <c r="Z169" s="49"/>
      <c r="AA169" s="49"/>
      <c r="AB169" s="49"/>
      <c r="AC169" s="49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</row>
    <row r="170" ht="15.75" customHeight="1">
      <c r="A170" s="48"/>
      <c r="B170" s="46"/>
      <c r="C170" s="41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9"/>
      <c r="W170" s="49"/>
      <c r="X170" s="49"/>
      <c r="Y170" s="49"/>
      <c r="Z170" s="49"/>
      <c r="AA170" s="49"/>
      <c r="AB170" s="49"/>
      <c r="AC170" s="49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</row>
    <row r="171" ht="15.75" customHeight="1">
      <c r="A171" s="48"/>
      <c r="B171" s="46"/>
      <c r="C171" s="41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9"/>
      <c r="W171" s="49"/>
      <c r="X171" s="49"/>
      <c r="Y171" s="49"/>
      <c r="Z171" s="49"/>
      <c r="AA171" s="49"/>
      <c r="AB171" s="49"/>
      <c r="AC171" s="49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</row>
    <row r="172" ht="15.75" customHeight="1">
      <c r="A172" s="48"/>
      <c r="B172" s="46"/>
      <c r="C172" s="41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9"/>
      <c r="W172" s="49"/>
      <c r="X172" s="49"/>
      <c r="Y172" s="49"/>
      <c r="Z172" s="49"/>
      <c r="AA172" s="49"/>
      <c r="AB172" s="49"/>
      <c r="AC172" s="49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</row>
    <row r="173" ht="15.75" customHeight="1">
      <c r="A173" s="48"/>
      <c r="B173" s="46"/>
      <c r="C173" s="41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9"/>
      <c r="W173" s="49"/>
      <c r="X173" s="49"/>
      <c r="Y173" s="49"/>
      <c r="Z173" s="49"/>
      <c r="AA173" s="49"/>
      <c r="AB173" s="49"/>
      <c r="AC173" s="49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</row>
    <row r="174" ht="15.75" customHeight="1">
      <c r="A174" s="48"/>
      <c r="B174" s="46"/>
      <c r="C174" s="41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9"/>
      <c r="W174" s="49"/>
      <c r="X174" s="49"/>
      <c r="Y174" s="49"/>
      <c r="Z174" s="49"/>
      <c r="AA174" s="49"/>
      <c r="AB174" s="49"/>
      <c r="AC174" s="49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</row>
    <row r="175" ht="15.75" customHeight="1">
      <c r="A175" s="48"/>
      <c r="B175" s="46"/>
      <c r="C175" s="41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9"/>
      <c r="W175" s="49"/>
      <c r="X175" s="49"/>
      <c r="Y175" s="49"/>
      <c r="Z175" s="49"/>
      <c r="AA175" s="49"/>
      <c r="AB175" s="49"/>
      <c r="AC175" s="49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</row>
    <row r="176" ht="15.75" customHeight="1">
      <c r="A176" s="48"/>
      <c r="B176" s="46"/>
      <c r="C176" s="41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9"/>
      <c r="W176" s="49"/>
      <c r="X176" s="49"/>
      <c r="Y176" s="49"/>
      <c r="Z176" s="49"/>
      <c r="AA176" s="49"/>
      <c r="AB176" s="49"/>
      <c r="AC176" s="49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</row>
    <row r="177" ht="15.75" customHeight="1">
      <c r="A177" s="48"/>
      <c r="B177" s="46"/>
      <c r="C177" s="41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9"/>
      <c r="W177" s="49"/>
      <c r="X177" s="49"/>
      <c r="Y177" s="49"/>
      <c r="Z177" s="49"/>
      <c r="AA177" s="49"/>
      <c r="AB177" s="49"/>
      <c r="AC177" s="49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</row>
    <row r="178" ht="15.75" customHeight="1">
      <c r="A178" s="48"/>
      <c r="B178" s="46"/>
      <c r="C178" s="41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9"/>
      <c r="W178" s="49"/>
      <c r="X178" s="49"/>
      <c r="Y178" s="49"/>
      <c r="Z178" s="49"/>
      <c r="AA178" s="49"/>
      <c r="AB178" s="49"/>
      <c r="AC178" s="49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</row>
    <row r="179" ht="15.75" customHeight="1">
      <c r="A179" s="48"/>
      <c r="B179" s="46"/>
      <c r="C179" s="41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9"/>
      <c r="W179" s="49"/>
      <c r="X179" s="49"/>
      <c r="Y179" s="49"/>
      <c r="Z179" s="49"/>
      <c r="AA179" s="49"/>
      <c r="AB179" s="49"/>
      <c r="AC179" s="49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</row>
    <row r="180" ht="15.75" customHeight="1">
      <c r="A180" s="48"/>
      <c r="B180" s="46"/>
      <c r="C180" s="41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9"/>
      <c r="W180" s="49"/>
      <c r="X180" s="49"/>
      <c r="Y180" s="49"/>
      <c r="Z180" s="49"/>
      <c r="AA180" s="49"/>
      <c r="AB180" s="49"/>
      <c r="AC180" s="49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</row>
    <row r="181" ht="15.75" customHeight="1">
      <c r="A181" s="48"/>
      <c r="B181" s="46"/>
      <c r="C181" s="41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9"/>
      <c r="W181" s="49"/>
      <c r="X181" s="49"/>
      <c r="Y181" s="49"/>
      <c r="Z181" s="49"/>
      <c r="AA181" s="49"/>
      <c r="AB181" s="49"/>
      <c r="AC181" s="49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</row>
    <row r="182" ht="15.75" customHeight="1">
      <c r="A182" s="48"/>
      <c r="B182" s="46"/>
      <c r="C182" s="41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9"/>
      <c r="W182" s="49"/>
      <c r="X182" s="49"/>
      <c r="Y182" s="49"/>
      <c r="Z182" s="49"/>
      <c r="AA182" s="49"/>
      <c r="AB182" s="49"/>
      <c r="AC182" s="49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</row>
    <row r="183" ht="15.75" customHeight="1">
      <c r="A183" s="48"/>
      <c r="B183" s="46"/>
      <c r="C183" s="41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9"/>
      <c r="W183" s="49"/>
      <c r="X183" s="49"/>
      <c r="Y183" s="49"/>
      <c r="Z183" s="49"/>
      <c r="AA183" s="49"/>
      <c r="AB183" s="49"/>
      <c r="AC183" s="49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</row>
    <row r="184" ht="15.75" customHeight="1">
      <c r="A184" s="48"/>
      <c r="B184" s="46"/>
      <c r="C184" s="41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9"/>
      <c r="W184" s="49"/>
      <c r="X184" s="49"/>
      <c r="Y184" s="49"/>
      <c r="Z184" s="49"/>
      <c r="AA184" s="49"/>
      <c r="AB184" s="49"/>
      <c r="AC184" s="49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</row>
    <row r="185" ht="15.75" customHeight="1">
      <c r="A185" s="48"/>
      <c r="B185" s="46"/>
      <c r="C185" s="41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9"/>
      <c r="W185" s="49"/>
      <c r="X185" s="49"/>
      <c r="Y185" s="49"/>
      <c r="Z185" s="49"/>
      <c r="AA185" s="49"/>
      <c r="AB185" s="49"/>
      <c r="AC185" s="49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ht="15.75" customHeight="1">
      <c r="A186" s="48"/>
      <c r="B186" s="46"/>
      <c r="C186" s="41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9"/>
      <c r="W186" s="49"/>
      <c r="X186" s="49"/>
      <c r="Y186" s="49"/>
      <c r="Z186" s="49"/>
      <c r="AA186" s="49"/>
      <c r="AB186" s="49"/>
      <c r="AC186" s="49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</row>
    <row r="187" ht="15.75" customHeight="1">
      <c r="A187" s="48"/>
      <c r="B187" s="46"/>
      <c r="C187" s="41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9"/>
      <c r="W187" s="49"/>
      <c r="X187" s="49"/>
      <c r="Y187" s="49"/>
      <c r="Z187" s="49"/>
      <c r="AA187" s="49"/>
      <c r="AB187" s="49"/>
      <c r="AC187" s="49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</row>
    <row r="188" ht="15.75" customHeight="1">
      <c r="A188" s="48"/>
      <c r="B188" s="46"/>
      <c r="C188" s="41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9"/>
      <c r="W188" s="49"/>
      <c r="X188" s="49"/>
      <c r="Y188" s="49"/>
      <c r="Z188" s="49"/>
      <c r="AA188" s="49"/>
      <c r="AB188" s="49"/>
      <c r="AC188" s="49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</row>
    <row r="189" ht="15.75" customHeight="1">
      <c r="A189" s="48"/>
      <c r="B189" s="46"/>
      <c r="C189" s="41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9"/>
      <c r="W189" s="49"/>
      <c r="X189" s="49"/>
      <c r="Y189" s="49"/>
      <c r="Z189" s="49"/>
      <c r="AA189" s="49"/>
      <c r="AB189" s="49"/>
      <c r="AC189" s="49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</row>
    <row r="190" ht="15.75" customHeight="1">
      <c r="A190" s="48"/>
      <c r="B190" s="46"/>
      <c r="C190" s="41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9"/>
      <c r="W190" s="49"/>
      <c r="X190" s="49"/>
      <c r="Y190" s="49"/>
      <c r="Z190" s="49"/>
      <c r="AA190" s="49"/>
      <c r="AB190" s="49"/>
      <c r="AC190" s="49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</row>
    <row r="191" ht="15.75" customHeight="1">
      <c r="A191" s="48"/>
      <c r="B191" s="46"/>
      <c r="C191" s="41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9"/>
      <c r="W191" s="49"/>
      <c r="X191" s="49"/>
      <c r="Y191" s="49"/>
      <c r="Z191" s="49"/>
      <c r="AA191" s="49"/>
      <c r="AB191" s="49"/>
      <c r="AC191" s="49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</row>
    <row r="192" ht="15.75" customHeight="1">
      <c r="A192" s="48"/>
      <c r="B192" s="46"/>
      <c r="C192" s="41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9"/>
      <c r="W192" s="49"/>
      <c r="X192" s="49"/>
      <c r="Y192" s="49"/>
      <c r="Z192" s="49"/>
      <c r="AA192" s="49"/>
      <c r="AB192" s="49"/>
      <c r="AC192" s="49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</row>
    <row r="193" ht="15.75" customHeight="1">
      <c r="A193" s="48"/>
      <c r="B193" s="46"/>
      <c r="C193" s="41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9"/>
      <c r="W193" s="49"/>
      <c r="X193" s="49"/>
      <c r="Y193" s="49"/>
      <c r="Z193" s="49"/>
      <c r="AA193" s="49"/>
      <c r="AB193" s="49"/>
      <c r="AC193" s="49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</row>
    <row r="194" ht="15.75" customHeight="1">
      <c r="A194" s="48"/>
      <c r="B194" s="46"/>
      <c r="C194" s="41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9"/>
      <c r="W194" s="49"/>
      <c r="X194" s="49"/>
      <c r="Y194" s="49"/>
      <c r="Z194" s="49"/>
      <c r="AA194" s="49"/>
      <c r="AB194" s="49"/>
      <c r="AC194" s="49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</row>
    <row r="195" ht="15.75" customHeight="1">
      <c r="A195" s="48"/>
      <c r="B195" s="46"/>
      <c r="C195" s="41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9"/>
      <c r="W195" s="49"/>
      <c r="X195" s="49"/>
      <c r="Y195" s="49"/>
      <c r="Z195" s="49"/>
      <c r="AA195" s="49"/>
      <c r="AB195" s="49"/>
      <c r="AC195" s="49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</row>
    <row r="196" ht="15.75" customHeight="1">
      <c r="A196" s="48"/>
      <c r="B196" s="46"/>
      <c r="C196" s="41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9"/>
      <c r="W196" s="49"/>
      <c r="X196" s="49"/>
      <c r="Y196" s="49"/>
      <c r="Z196" s="49"/>
      <c r="AA196" s="49"/>
      <c r="AB196" s="49"/>
      <c r="AC196" s="49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</row>
    <row r="197" ht="15.75" customHeight="1">
      <c r="A197" s="48"/>
      <c r="B197" s="46"/>
      <c r="C197" s="41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9"/>
      <c r="W197" s="49"/>
      <c r="X197" s="49"/>
      <c r="Y197" s="49"/>
      <c r="Z197" s="49"/>
      <c r="AA197" s="49"/>
      <c r="AB197" s="49"/>
      <c r="AC197" s="49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</row>
    <row r="198" ht="15.75" customHeight="1">
      <c r="A198" s="48"/>
      <c r="B198" s="46"/>
      <c r="C198" s="41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9"/>
      <c r="W198" s="49"/>
      <c r="X198" s="49"/>
      <c r="Y198" s="49"/>
      <c r="Z198" s="49"/>
      <c r="AA198" s="49"/>
      <c r="AB198" s="49"/>
      <c r="AC198" s="49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</row>
    <row r="199" ht="15.75" customHeight="1">
      <c r="A199" s="48"/>
      <c r="B199" s="46"/>
      <c r="C199" s="41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9"/>
      <c r="W199" s="49"/>
      <c r="X199" s="49"/>
      <c r="Y199" s="49"/>
      <c r="Z199" s="49"/>
      <c r="AA199" s="49"/>
      <c r="AB199" s="49"/>
      <c r="AC199" s="49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</row>
    <row r="200" ht="15.75" customHeight="1">
      <c r="A200" s="48"/>
      <c r="B200" s="46"/>
      <c r="C200" s="41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9"/>
      <c r="W200" s="49"/>
      <c r="X200" s="49"/>
      <c r="Y200" s="49"/>
      <c r="Z200" s="49"/>
      <c r="AA200" s="49"/>
      <c r="AB200" s="49"/>
      <c r="AC200" s="49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</row>
    <row r="201" ht="15.75" customHeight="1">
      <c r="A201" s="48"/>
      <c r="B201" s="46"/>
      <c r="C201" s="41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9"/>
      <c r="W201" s="49"/>
      <c r="X201" s="49"/>
      <c r="Y201" s="49"/>
      <c r="Z201" s="49"/>
      <c r="AA201" s="49"/>
      <c r="AB201" s="49"/>
      <c r="AC201" s="49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</row>
    <row r="202" ht="15.75" customHeight="1">
      <c r="A202" s="48"/>
      <c r="B202" s="46"/>
      <c r="C202" s="41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9"/>
      <c r="W202" s="49"/>
      <c r="X202" s="49"/>
      <c r="Y202" s="49"/>
      <c r="Z202" s="49"/>
      <c r="AA202" s="49"/>
      <c r="AB202" s="49"/>
      <c r="AC202" s="49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</row>
    <row r="203" ht="15.75" customHeight="1">
      <c r="A203" s="48"/>
      <c r="B203" s="46"/>
      <c r="C203" s="41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9"/>
      <c r="W203" s="49"/>
      <c r="X203" s="49"/>
      <c r="Y203" s="49"/>
      <c r="Z203" s="49"/>
      <c r="AA203" s="49"/>
      <c r="AB203" s="49"/>
      <c r="AC203" s="49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</row>
    <row r="204" ht="15.75" customHeight="1">
      <c r="A204" s="48"/>
      <c r="B204" s="46"/>
      <c r="C204" s="41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9"/>
      <c r="W204" s="49"/>
      <c r="X204" s="49"/>
      <c r="Y204" s="49"/>
      <c r="Z204" s="49"/>
      <c r="AA204" s="49"/>
      <c r="AB204" s="49"/>
      <c r="AC204" s="49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</row>
    <row r="205" ht="15.75" customHeight="1">
      <c r="A205" s="48"/>
      <c r="B205" s="46"/>
      <c r="C205" s="41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9"/>
      <c r="W205" s="49"/>
      <c r="X205" s="49"/>
      <c r="Y205" s="49"/>
      <c r="Z205" s="49"/>
      <c r="AA205" s="49"/>
      <c r="AB205" s="49"/>
      <c r="AC205" s="49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</row>
    <row r="206" ht="15.75" customHeight="1">
      <c r="A206" s="48"/>
      <c r="B206" s="46"/>
      <c r="C206" s="41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9"/>
      <c r="W206" s="49"/>
      <c r="X206" s="49"/>
      <c r="Y206" s="49"/>
      <c r="Z206" s="49"/>
      <c r="AA206" s="49"/>
      <c r="AB206" s="49"/>
      <c r="AC206" s="49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</row>
    <row r="207" ht="15.75" customHeight="1">
      <c r="A207" s="48"/>
      <c r="B207" s="46"/>
      <c r="C207" s="41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9"/>
      <c r="W207" s="49"/>
      <c r="X207" s="49"/>
      <c r="Y207" s="49"/>
      <c r="Z207" s="49"/>
      <c r="AA207" s="49"/>
      <c r="AB207" s="49"/>
      <c r="AC207" s="49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</row>
    <row r="208" ht="15.75" customHeight="1">
      <c r="A208" s="48"/>
      <c r="B208" s="46"/>
      <c r="C208" s="41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9"/>
      <c r="W208" s="49"/>
      <c r="X208" s="49"/>
      <c r="Y208" s="49"/>
      <c r="Z208" s="49"/>
      <c r="AA208" s="49"/>
      <c r="AB208" s="49"/>
      <c r="AC208" s="49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</row>
    <row r="209" ht="15.75" customHeight="1">
      <c r="A209" s="48"/>
      <c r="B209" s="46"/>
      <c r="C209" s="41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9"/>
      <c r="W209" s="49"/>
      <c r="X209" s="49"/>
      <c r="Y209" s="49"/>
      <c r="Z209" s="49"/>
      <c r="AA209" s="49"/>
      <c r="AB209" s="49"/>
      <c r="AC209" s="49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</row>
    <row r="210" ht="15.75" customHeight="1">
      <c r="A210" s="48"/>
      <c r="B210" s="46"/>
      <c r="C210" s="41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9"/>
      <c r="W210" s="49"/>
      <c r="X210" s="49"/>
      <c r="Y210" s="49"/>
      <c r="Z210" s="49"/>
      <c r="AA210" s="49"/>
      <c r="AB210" s="49"/>
      <c r="AC210" s="49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</row>
    <row r="211" ht="15.75" customHeight="1">
      <c r="A211" s="48"/>
      <c r="B211" s="46"/>
      <c r="C211" s="41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9"/>
      <c r="W211" s="49"/>
      <c r="X211" s="49"/>
      <c r="Y211" s="49"/>
      <c r="Z211" s="49"/>
      <c r="AA211" s="49"/>
      <c r="AB211" s="49"/>
      <c r="AC211" s="49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</row>
    <row r="212" ht="15.75" customHeight="1">
      <c r="A212" s="48"/>
      <c r="B212" s="46"/>
      <c r="C212" s="41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9"/>
      <c r="W212" s="49"/>
      <c r="X212" s="49"/>
      <c r="Y212" s="49"/>
      <c r="Z212" s="49"/>
      <c r="AA212" s="49"/>
      <c r="AB212" s="49"/>
      <c r="AC212" s="49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</row>
    <row r="213" ht="15.75" customHeight="1">
      <c r="A213" s="48"/>
      <c r="B213" s="46"/>
      <c r="C213" s="41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9"/>
      <c r="W213" s="49"/>
      <c r="X213" s="49"/>
      <c r="Y213" s="49"/>
      <c r="Z213" s="49"/>
      <c r="AA213" s="49"/>
      <c r="AB213" s="49"/>
      <c r="AC213" s="49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</row>
    <row r="214" ht="15.75" customHeight="1">
      <c r="A214" s="48"/>
      <c r="B214" s="46"/>
      <c r="C214" s="41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9"/>
      <c r="W214" s="49"/>
      <c r="X214" s="49"/>
      <c r="Y214" s="49"/>
      <c r="Z214" s="49"/>
      <c r="AA214" s="49"/>
      <c r="AB214" s="49"/>
      <c r="AC214" s="49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</row>
    <row r="215" ht="15.75" customHeight="1">
      <c r="A215" s="48"/>
      <c r="B215" s="46"/>
      <c r="C215" s="41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9"/>
      <c r="W215" s="49"/>
      <c r="X215" s="49"/>
      <c r="Y215" s="49"/>
      <c r="Z215" s="49"/>
      <c r="AA215" s="49"/>
      <c r="AB215" s="49"/>
      <c r="AC215" s="49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</row>
    <row r="216" ht="15.75" customHeight="1">
      <c r="A216" s="48"/>
      <c r="B216" s="46"/>
      <c r="C216" s="41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9"/>
      <c r="W216" s="49"/>
      <c r="X216" s="49"/>
      <c r="Y216" s="49"/>
      <c r="Z216" s="49"/>
      <c r="AA216" s="49"/>
      <c r="AB216" s="49"/>
      <c r="AC216" s="49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</row>
    <row r="217" ht="15.75" customHeight="1">
      <c r="A217" s="48"/>
      <c r="B217" s="46"/>
      <c r="C217" s="41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9"/>
      <c r="W217" s="49"/>
      <c r="X217" s="49"/>
      <c r="Y217" s="49"/>
      <c r="Z217" s="49"/>
      <c r="AA217" s="49"/>
      <c r="AB217" s="49"/>
      <c r="AC217" s="49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</row>
    <row r="218" ht="15.75" customHeight="1">
      <c r="A218" s="48"/>
      <c r="B218" s="46"/>
      <c r="C218" s="41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9"/>
      <c r="W218" s="49"/>
      <c r="X218" s="49"/>
      <c r="Y218" s="49"/>
      <c r="Z218" s="49"/>
      <c r="AA218" s="49"/>
      <c r="AB218" s="49"/>
      <c r="AC218" s="49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</row>
    <row r="219" ht="15.75" customHeight="1">
      <c r="A219" s="48"/>
      <c r="B219" s="46"/>
      <c r="C219" s="41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9"/>
      <c r="W219" s="49"/>
      <c r="X219" s="49"/>
      <c r="Y219" s="49"/>
      <c r="Z219" s="49"/>
      <c r="AA219" s="49"/>
      <c r="AB219" s="49"/>
      <c r="AC219" s="49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</row>
    <row r="220" ht="15.75" customHeight="1">
      <c r="A220" s="48"/>
      <c r="B220" s="46"/>
      <c r="C220" s="41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9"/>
      <c r="W220" s="49"/>
      <c r="X220" s="49"/>
      <c r="Y220" s="49"/>
      <c r="Z220" s="49"/>
      <c r="AA220" s="49"/>
      <c r="AB220" s="49"/>
      <c r="AC220" s="49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O1"/>
    <mergeCell ref="A2:A4"/>
    <mergeCell ref="B2:B4"/>
    <mergeCell ref="C2:C4"/>
  </mergeCells>
  <conditionalFormatting sqref="B5">
    <cfRule type="notContainsBlanks" dxfId="0" priority="1">
      <formula>LEN(TRIM(B5))&gt;0</formula>
    </cfRule>
  </conditionalFormatting>
  <conditionalFormatting sqref="C5:C16">
    <cfRule type="colorScale" priority="2">
      <colorScale>
        <cfvo type="min"/>
        <cfvo type="percentile" val="50"/>
        <cfvo type="max"/>
        <color rgb="FFFF0000"/>
        <color rgb="FFFFFF00"/>
        <color rgb="FF38761D"/>
      </colorScale>
    </cfRule>
  </conditionalFormatting>
  <dataValidations>
    <dataValidation type="list" allowBlank="1" showErrorMessage="1" sqref="D5:T16">
      <formula1>"Alto,Medio,Bajo"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51.75"/>
    <col customWidth="1" min="3" max="6" width="12.63"/>
  </cols>
  <sheetData>
    <row r="1" ht="15.75" customHeight="1">
      <c r="A1" s="2" t="s">
        <v>1</v>
      </c>
      <c r="E1" s="4" t="s">
        <v>2</v>
      </c>
      <c r="F1" s="4" t="s">
        <v>3</v>
      </c>
    </row>
    <row r="2" ht="15.75" customHeight="1">
      <c r="A2" s="6" t="s">
        <v>4</v>
      </c>
      <c r="B2" s="6" t="s">
        <v>5</v>
      </c>
      <c r="E2" s="5" t="s">
        <v>6</v>
      </c>
      <c r="F2" s="5" t="s">
        <v>7</v>
      </c>
    </row>
    <row r="3" ht="15.75" customHeight="1">
      <c r="A3" s="6" t="s">
        <v>8</v>
      </c>
      <c r="B3" s="6" t="s">
        <v>9</v>
      </c>
      <c r="E3" s="5" t="s">
        <v>10</v>
      </c>
      <c r="F3" s="5" t="s">
        <v>11</v>
      </c>
    </row>
    <row r="4" ht="15.75" customHeight="1">
      <c r="A4" s="6" t="s">
        <v>6</v>
      </c>
      <c r="B4" s="6" t="s">
        <v>13</v>
      </c>
      <c r="E4" s="5" t="s">
        <v>14</v>
      </c>
      <c r="F4" s="5" t="s">
        <v>15</v>
      </c>
    </row>
    <row r="5" ht="15.75" customHeight="1">
      <c r="A5" s="6" t="s">
        <v>10</v>
      </c>
      <c r="B5" s="6" t="s">
        <v>17</v>
      </c>
    </row>
    <row r="6" ht="15.75" customHeight="1">
      <c r="A6" s="6" t="s">
        <v>14</v>
      </c>
      <c r="B6" s="6" t="s">
        <v>18</v>
      </c>
    </row>
    <row r="7" ht="15.75" customHeight="1"/>
    <row r="8" ht="15.75" customHeight="1">
      <c r="A8" s="2"/>
    </row>
    <row r="9" ht="15.75" customHeight="1">
      <c r="A9" s="2"/>
    </row>
    <row r="10" ht="15.75" customHeight="1">
      <c r="A10" s="2" t="s">
        <v>20</v>
      </c>
    </row>
    <row r="11" ht="15.75" customHeight="1">
      <c r="A11" s="6" t="s">
        <v>21</v>
      </c>
      <c r="B11" s="6" t="s">
        <v>22</v>
      </c>
    </row>
    <row r="12" ht="15.75" customHeight="1">
      <c r="A12" s="6" t="s">
        <v>23</v>
      </c>
      <c r="B12" s="6" t="s">
        <v>24</v>
      </c>
    </row>
    <row r="13" ht="15.75" customHeight="1">
      <c r="A13" s="6" t="s">
        <v>25</v>
      </c>
      <c r="B13" s="6" t="s">
        <v>26</v>
      </c>
    </row>
    <row r="14" ht="15.75" customHeight="1">
      <c r="A14" s="6" t="s">
        <v>27</v>
      </c>
      <c r="B14" s="6" t="s">
        <v>28</v>
      </c>
    </row>
    <row r="15" ht="15.75" customHeight="1"/>
    <row r="16" ht="15.75" customHeight="1"/>
    <row r="17" ht="15.75" customHeight="1">
      <c r="A17" s="2" t="s">
        <v>29</v>
      </c>
    </row>
    <row r="18" ht="15.75" customHeight="1">
      <c r="A18" s="15" t="s">
        <v>30</v>
      </c>
      <c r="B18" s="15" t="s">
        <v>23</v>
      </c>
    </row>
    <row r="19" ht="15.75" customHeight="1">
      <c r="A19" s="6" t="s">
        <v>31</v>
      </c>
    </row>
    <row r="20" ht="15.75" customHeight="1">
      <c r="A20" s="6" t="s">
        <v>32</v>
      </c>
    </row>
    <row r="21" ht="15.75" customHeight="1">
      <c r="A21" s="6" t="s">
        <v>34</v>
      </c>
    </row>
    <row r="22" ht="15.75" customHeight="1">
      <c r="A22" s="6" t="s">
        <v>35</v>
      </c>
    </row>
    <row r="23" ht="15.75" customHeight="1">
      <c r="A23" s="6" t="s">
        <v>36</v>
      </c>
    </row>
    <row r="24" ht="15.75" customHeight="1">
      <c r="A24" s="6" t="s">
        <v>37</v>
      </c>
    </row>
    <row r="25" ht="15.75" customHeight="1">
      <c r="A25" s="6" t="s">
        <v>38</v>
      </c>
    </row>
    <row r="26" ht="15.75" customHeight="1"/>
    <row r="27" ht="15.75" customHeight="1"/>
    <row r="28" ht="15.75" customHeight="1">
      <c r="A28" s="6" t="s">
        <v>39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