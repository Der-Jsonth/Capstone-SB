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T" sheetId="1" r:id="rId4"/>
    <sheet state="visible" name="REMUNERACIONES" sheetId="2" r:id="rId5"/>
    <sheet state="visible" name="EQUIPOS E INFRAESTRUCTURA" sheetId="3" r:id="rId6"/>
    <sheet state="visible" name="SOFTWARE Y FUNGIBLES" sheetId="4" r:id="rId7"/>
    <sheet state="visible" name="OTROS" sheetId="5" r:id="rId8"/>
    <sheet state="visible" name="TOTAL" sheetId="6" r:id="rId9"/>
  </sheets>
  <definedNames>
    <definedName name="PRECIO">TOTAL!$F$3</definedName>
    <definedName localSheetId="0" name="PRECIO">PERT!$I$2</definedName>
  </definedNames>
  <calcPr/>
  <extLst>
    <ext uri="GoogleSheetsCustomDataVersion2">
      <go:sheetsCustomData xmlns:go="http://customooxmlschemas.google.com/" r:id="rId10" roundtripDataChecksum="07Y54LxlVn62EXh/fFhEKh1J8qPSEo92OWZt+7GN6h0="/>
    </ext>
  </extLst>
</workbook>
</file>

<file path=xl/sharedStrings.xml><?xml version="1.0" encoding="utf-8"?>
<sst xmlns="http://schemas.openxmlformats.org/spreadsheetml/2006/main" count="244" uniqueCount="193">
  <si>
    <t>Componente</t>
  </si>
  <si>
    <t>Nombre</t>
  </si>
  <si>
    <t>Descripción</t>
  </si>
  <si>
    <t>Opensource?</t>
  </si>
  <si>
    <t>Referencias costo ($CLP)</t>
  </si>
  <si>
    <t>Referentes (link)</t>
  </si>
  <si>
    <t>Número</t>
  </si>
  <si>
    <t>Intervalos propuestos</t>
  </si>
  <si>
    <t>sueldos dentro de los intervalos</t>
  </si>
  <si>
    <t>Pasarela Pago</t>
  </si>
  <si>
    <t>Stripe</t>
  </si>
  <si>
    <t>Plataforma de pagos internacional con API robusta y fácil integración</t>
  </si>
  <si>
    <t>2,9% + $0,30 USD por transacción</t>
  </si>
  <si>
    <t>https://stripe.com/es-us/pricing</t>
  </si>
  <si>
    <t>MercadoPago</t>
  </si>
  <si>
    <t>Plataforma de pagos líder en Latinoamérica con soporte en Chile</t>
  </si>
  <si>
    <t>2,99% por transacción aprobada</t>
  </si>
  <si>
    <t>https://www.mercadopago.cl/costs-section/introduction</t>
  </si>
  <si>
    <t>2.500.000, 2.683.899, 2.800.000</t>
  </si>
  <si>
    <t>Transbank</t>
  </si>
  <si>
    <t>Pasarela de pagos chilena oficial, acepta débito y crédito local</t>
  </si>
  <si>
    <t>Comisión según contrato comercial</t>
  </si>
  <si>
    <t>https://www.transbank.cl/soluciones-para-tu-negocio/webpay</t>
  </si>
  <si>
    <t>3.500.000, 3.800.000</t>
  </si>
  <si>
    <t>4.500.000, 4.500.000, 4.700.000, 4.700.000</t>
  </si>
  <si>
    <t>Sueldo Moda:</t>
  </si>
  <si>
    <t>Pert_Sueldo</t>
  </si>
  <si>
    <t>Es opensource?</t>
  </si>
  <si>
    <t>Base de datos</t>
  </si>
  <si>
    <t>SQLite</t>
  </si>
  <si>
    <t>Base de datos liviana embebida en la app, sin servidor</t>
  </si>
  <si>
    <t>Gratuito</t>
  </si>
  <si>
    <t>https://www.sqlite.org</t>
  </si>
  <si>
    <t>1.600.000 – 2.000.000</t>
  </si>
  <si>
    <t>1.608.081, 1.723.763, 1.750.000, 1.789.059</t>
  </si>
  <si>
    <t>PostgreSQL</t>
  </si>
  <si>
    <t>Base de datos relacional robusta y escalable</t>
  </si>
  <si>
    <t>https://www.postgresql.org</t>
  </si>
  <si>
    <t>2.000.001 – 2.400.000</t>
  </si>
  <si>
    <t>2.012.918, 2.060.000, 2.250.000, 2.294.282, 2.400.000</t>
  </si>
  <si>
    <t>Supabase</t>
  </si>
  <si>
    <t>Plataforma BaaS con PostgreSQL gestionado en la nube</t>
  </si>
  <si>
    <t>Gratuito hasta 500MB, luego desde $25 USD/mes</t>
  </si>
  <si>
    <t>https://supabase.com/pricing</t>
  </si>
  <si>
    <t>2.400.001 – 2.800.000</t>
  </si>
  <si>
    <t>-</t>
  </si>
  <si>
    <t>Railway</t>
  </si>
  <si>
    <t>Plataforma de hosting con soporte para PostgreSQL</t>
  </si>
  <si>
    <t>Gratuito hasta 5GB, luego desde $5 USD/mes</t>
  </si>
  <si>
    <t>https://railway.app/pricing</t>
  </si>
  <si>
    <t>2.800.001 – 3.200.000</t>
  </si>
  <si>
    <t>2.803.663, 3.108.805</t>
  </si>
  <si>
    <t>Render</t>
  </si>
  <si>
    <t>Hosting con base de datos PostgreSQL gestionada</t>
  </si>
  <si>
    <t>Gratuito con límites, luego desde $7 USD/mes</t>
  </si>
  <si>
    <t>https://render.com/pricing</t>
  </si>
  <si>
    <t>3.200.001 – 3.700.000</t>
  </si>
  <si>
    <t>AWS RDS</t>
  </si>
  <si>
    <t>Servicio de base de datos relacional en la nube de Amazon</t>
  </si>
  <si>
    <t>Desde ~$15 USD/mes (~$14.000 CLP)</t>
  </si>
  <si>
    <t>https://aws.amazon.com/es/rds/pricing</t>
  </si>
  <si>
    <t>costos dentro de los intervalos</t>
  </si>
  <si>
    <t>SDK</t>
  </si>
  <si>
    <t>firebase Auth</t>
  </si>
  <si>
    <t>Servicio de autenticación de Google con email, SMS y OAuth</t>
  </si>
  <si>
    <t>Gratuito hasta 50K MAUs</t>
  </si>
  <si>
    <t>https://firebase.google.com/pricing</t>
  </si>
  <si>
    <t>10.000 – 29.999</t>
  </si>
  <si>
    <t>11.985, 20.225, 26.200</t>
  </si>
  <si>
    <t>superabase Auth</t>
  </si>
  <si>
    <t>Autenticación integrada con PostgreSQL, email, SMS y OAuth</t>
  </si>
  <si>
    <t>30.000 – 49.999</t>
  </si>
  <si>
    <t>44.200, 49.990</t>
  </si>
  <si>
    <t>Auth0</t>
  </si>
  <si>
    <t>Plataforma especializada en autenticación con UI incluida</t>
  </si>
  <si>
    <t>Gratuito hasta 25K MAUs</t>
  </si>
  <si>
    <t>https://auth0.com/pricing</t>
  </si>
  <si>
    <t>50.000 – 69.999</t>
  </si>
  <si>
    <t>63.990, 69.990</t>
  </si>
  <si>
    <t>Clerk</t>
  </si>
  <si>
    <t>SDK moderno de autenticación con interfaz lista para usar</t>
  </si>
  <si>
    <t>Gratuito hasta 10K MAUs</t>
  </si>
  <si>
    <t>https://clerk.com/pricing</t>
  </si>
  <si>
    <t>70.000 – 89.999</t>
  </si>
  <si>
    <t>80.990, 80.990, 82.837, 85.990</t>
  </si>
  <si>
    <t>Django Allauth</t>
  </si>
  <si>
    <t>Librería nativa de autenticación para Django</t>
  </si>
  <si>
    <t>100% gratuito</t>
  </si>
  <si>
    <t>https://docs.allauth.org</t>
  </si>
  <si>
    <t>90.000 – 110.000</t>
  </si>
  <si>
    <t>Keycloak</t>
  </si>
  <si>
    <t>Solución enterprise de autenticación self-hosted</t>
  </si>
  <si>
    <t>https://www.keycloak.org</t>
  </si>
  <si>
    <t>Costo_Moda:</t>
  </si>
  <si>
    <t>Pert_Costo</t>
  </si>
  <si>
    <t>REMUNERACIONES, HONORARIOS E INCENTIVOS</t>
  </si>
  <si>
    <t>ITEM</t>
  </si>
  <si>
    <t>HONORARIOS</t>
  </si>
  <si>
    <t>SUELDO MENSUAL
$ / MES</t>
  </si>
  <si>
    <t>SUBTOTAL</t>
  </si>
  <si>
    <t>DEDICACION AL PROYECTO % JORNADA</t>
  </si>
  <si>
    <t># MESES A CONTRATAR</t>
  </si>
  <si>
    <t>TOTAL PROYECTO $</t>
  </si>
  <si>
    <t>Profesionales</t>
  </si>
  <si>
    <t xml:space="preserve">Gerente de Proyecto </t>
  </si>
  <si>
    <t>Especialista en IA</t>
  </si>
  <si>
    <t>Ingeniero en Infraestructura</t>
  </si>
  <si>
    <t>Técnicos</t>
  </si>
  <si>
    <t>Líder de Desarrollo</t>
  </si>
  <si>
    <t>Desarrollador Backend</t>
  </si>
  <si>
    <t xml:space="preserve">Desarrollador Frontend / Mobile </t>
  </si>
  <si>
    <t>Analista QA</t>
  </si>
  <si>
    <t xml:space="preserve"> </t>
  </si>
  <si>
    <t>EQUIPOS (Hardware)</t>
  </si>
  <si>
    <t>NOMBRE DEL EQUIPO</t>
  </si>
  <si>
    <t>DESCRIPCIÓN</t>
  </si>
  <si>
    <t>COMPRA
COSTO UNITARIO
$ / UNIDAD</t>
  </si>
  <si>
    <t>ARRIENDO
COSTO UNITARIO
$ / MESES</t>
  </si>
  <si>
    <t>#
UNIDADES O MESES</t>
  </si>
  <si>
    <t>TOTAL
$</t>
  </si>
  <si>
    <t>COMPUTADOR</t>
  </si>
  <si>
    <t>Equipos para desarrollo y pruebas</t>
  </si>
  <si>
    <t>Impresora térmica</t>
  </si>
  <si>
    <t>Impresión de comprobantes y tickets</t>
  </si>
  <si>
    <t>Lector de huella</t>
  </si>
  <si>
    <t>Captura biométrica</t>
  </si>
  <si>
    <t>Cámara de seguridad</t>
  </si>
  <si>
    <t>Captura vehicular y monitoreo</t>
  </si>
  <si>
    <t>Lector QR</t>
  </si>
  <si>
    <t>Validación de pagos y accesos</t>
  </si>
  <si>
    <t>INFRAESTRUCTURA (Instalaciones y Oficinas)</t>
  </si>
  <si>
    <t>NOMBRE DE LA INFRAESTRUCTURA</t>
  </si>
  <si>
    <t>UPS respaldo eléctrico</t>
  </si>
  <si>
    <t>Respaldo energético para continuidad operativa</t>
  </si>
  <si>
    <t>Oficina de desarrollo</t>
  </si>
  <si>
    <t>Espacio de trabajo para equipo de desarrollo y coordinación</t>
  </si>
  <si>
    <t>SOFTWARE (Licencias y SaaS)</t>
  </si>
  <si>
    <t>COSTO UNITARIO
$ / UNIDAD</t>
  </si>
  <si>
    <t>CANTIDAD</t>
  </si>
  <si>
    <t># MESES</t>
  </si>
  <si>
    <t>COSTO TOTAL M$</t>
  </si>
  <si>
    <t>Google Cloud Platform</t>
  </si>
  <si>
    <t>Dominio web y DNS</t>
  </si>
  <si>
    <t>GitHub Team</t>
  </si>
  <si>
    <t>Figma Professional</t>
  </si>
  <si>
    <t>FUNGIBLES (Productos Consumibles)</t>
  </si>
  <si>
    <t>COSTO UNITARIO
M$ / UNIDAD</t>
  </si>
  <si>
    <t>Cableado y conectores</t>
  </si>
  <si>
    <t>Pack De 100 Tarjetas Rfid</t>
  </si>
  <si>
    <t>GASTOS COMUNES</t>
  </si>
  <si>
    <t>COSTO TOTAL 
$</t>
  </si>
  <si>
    <t>Luz</t>
  </si>
  <si>
    <t>Agua</t>
  </si>
  <si>
    <t>Internet</t>
  </si>
  <si>
    <t>Total</t>
  </si>
  <si>
    <t>GESTION DE RIESGOS</t>
  </si>
  <si>
    <t>%</t>
  </si>
  <si>
    <t>MONTO
 M$</t>
  </si>
  <si>
    <t>Fondo de Reserva</t>
  </si>
  <si>
    <t>&lt;- monto de dinero que separo para cumplir contingencias</t>
  </si>
  <si>
    <t>Plan de Tratamientos de Riesgos</t>
  </si>
  <si>
    <r>
      <rPr>
        <rFont val="Arial"/>
        <color theme="1"/>
        <sz val="8.0"/>
      </rPr>
      <t xml:space="preserve">Plan de Tratamiento </t>
    </r>
    <r>
      <rPr>
        <rFont val="Arial"/>
        <b/>
        <color theme="1"/>
        <sz val="8.0"/>
      </rPr>
      <t>Cro-001</t>
    </r>
    <r>
      <rPr>
        <rFont val="Arial"/>
        <color theme="1"/>
        <sz val="8.0"/>
      </rPr>
      <t xml:space="preserve"> - Descomponer tareas complejas y revisar estimaciones semanalmente.</t>
    </r>
  </si>
  <si>
    <t>&lt;- planes de tratamiento de los riesgos críticos</t>
  </si>
  <si>
    <r>
      <rPr>
        <rFont val="Arial"/>
        <color theme="1"/>
        <sz val="8.0"/>
      </rPr>
      <t xml:space="preserve">Plan de Tratamiento </t>
    </r>
    <r>
      <rPr>
        <rFont val="Arial"/>
        <b/>
        <color theme="1"/>
        <sz val="8.0"/>
      </rPr>
      <t>Cro-002</t>
    </r>
    <r>
      <rPr>
        <rFont val="Arial"/>
        <color theme="1"/>
        <sz val="8.0"/>
      </rPr>
      <t xml:space="preserve"> - Implementar control formal de cambios y aprobación previa.</t>
    </r>
  </si>
  <si>
    <r>
      <rPr>
        <rFont val="Arial"/>
        <color theme="1"/>
        <sz val="8.0"/>
      </rPr>
      <t xml:space="preserve">Plan de Tratamiento </t>
    </r>
    <r>
      <rPr>
        <rFont val="Arial"/>
        <b/>
        <color theme="1"/>
        <sz val="8.0"/>
      </rPr>
      <t>Ges-001-</t>
    </r>
    <r>
      <rPr>
        <rFont val="Arial"/>
        <color theme="1"/>
        <sz val="8.0"/>
      </rPr>
      <t xml:space="preserve"> Revisar estimaciones con el equipo antes de aprobar el cronograma.</t>
    </r>
  </si>
  <si>
    <r>
      <rPr>
        <rFont val="Arial"/>
        <color theme="1"/>
        <sz val="8.0"/>
      </rPr>
      <t xml:space="preserve">Plan de Tratamiento </t>
    </r>
    <r>
      <rPr>
        <rFont val="Arial"/>
        <b/>
        <color theme="1"/>
        <sz val="8.0"/>
      </rPr>
      <t>Ges-003</t>
    </r>
    <r>
      <rPr>
        <rFont val="Arial"/>
        <color theme="1"/>
        <sz val="8.0"/>
      </rPr>
      <t>- Congelar alcance por iteraciones y formalizar solicitudes de cambio.</t>
    </r>
  </si>
  <si>
    <r>
      <rPr>
        <rFont val="Arial"/>
        <color theme="1"/>
        <sz val="8.0"/>
      </rPr>
      <t xml:space="preserve">Plan de Tratamiento </t>
    </r>
    <r>
      <rPr>
        <rFont val="Arial"/>
        <b/>
        <color theme="1"/>
        <sz val="8.0"/>
      </rPr>
      <t>Cal-001</t>
    </r>
    <r>
      <rPr>
        <rFont val="Arial"/>
        <color theme="1"/>
        <sz val="8.0"/>
      </rPr>
      <t>- Realizar pruebas periódicas de integración entre módulos.</t>
    </r>
  </si>
  <si>
    <r>
      <rPr>
        <rFont val="Arial"/>
        <color theme="1"/>
        <sz val="8.0"/>
      </rPr>
      <t xml:space="preserve">Plan de Tratamiento </t>
    </r>
    <r>
      <rPr>
        <rFont val="Arial"/>
        <b/>
        <color theme="1"/>
        <sz val="8.0"/>
      </rPr>
      <t>Cal-003</t>
    </r>
    <r>
      <rPr>
        <rFont val="Arial"/>
        <color theme="1"/>
        <sz val="8.0"/>
      </rPr>
      <t>-Definir guía básica de codificación y revisión entre pares.</t>
    </r>
  </si>
  <si>
    <r>
      <rPr>
        <rFont val="Arial"/>
        <color theme="1"/>
        <sz val="8.0"/>
      </rPr>
      <t xml:space="preserve">Plan de Tratamiento </t>
    </r>
    <r>
      <rPr>
        <rFont val="Arial"/>
        <b/>
        <color theme="1"/>
        <sz val="8.0"/>
      </rPr>
      <t xml:space="preserve">Cro-003 </t>
    </r>
    <r>
      <rPr>
        <rFont val="Arial"/>
        <color theme="1"/>
        <sz val="8.0"/>
      </rPr>
      <t>- Agregar holgura del 10% a actividades críticas.</t>
    </r>
  </si>
  <si>
    <r>
      <rPr>
        <rFont val="Arial"/>
        <color theme="1"/>
        <sz val="8.0"/>
      </rPr>
      <t xml:space="preserve">Plan de Tratamiento </t>
    </r>
    <r>
      <rPr>
        <rFont val="Arial"/>
        <b/>
        <color theme="1"/>
        <sz val="8.0"/>
      </rPr>
      <t>Cro-005</t>
    </r>
    <r>
      <rPr>
        <rFont val="Arial"/>
        <color theme="1"/>
        <sz val="8.0"/>
      </rPr>
      <t xml:space="preserve"> - Revisiones tempranas de entregables y validación continua.</t>
    </r>
  </si>
  <si>
    <r>
      <rPr>
        <rFont val="Arial"/>
        <color theme="1"/>
        <sz val="8.0"/>
      </rPr>
      <t xml:space="preserve">Plan de Tratamiento </t>
    </r>
    <r>
      <rPr>
        <rFont val="Arial"/>
        <b/>
        <color theme="1"/>
        <sz val="8.0"/>
      </rPr>
      <t>Cro-006</t>
    </r>
    <r>
      <rPr>
        <rFont val="Arial"/>
        <color theme="1"/>
        <sz val="8.0"/>
      </rPr>
      <t xml:space="preserve"> - Mantener prácticas de testing y adelantar despliegues cuando sea posible.</t>
    </r>
  </si>
  <si>
    <t>UTILIDAD</t>
  </si>
  <si>
    <t>DESCRIPCION</t>
  </si>
  <si>
    <t>MONTO
M$</t>
  </si>
  <si>
    <t>TOTAL</t>
  </si>
  <si>
    <t>COSTO TOTAL DEL PROYECTO</t>
  </si>
  <si>
    <t>760 UF</t>
  </si>
  <si>
    <t>PRECIO</t>
  </si>
  <si>
    <t>Rangos aceptables</t>
  </si>
  <si>
    <t>&lt;- monto que el colegio está dispuesto a pagar</t>
  </si>
  <si>
    <t>20-30%</t>
  </si>
  <si>
    <t>&lt;- utilidad que elegimos</t>
  </si>
  <si>
    <t>PRESUPUESTO</t>
  </si>
  <si>
    <t>HONORARIOS, INCENTIVOS, REMUNERACIONES</t>
  </si>
  <si>
    <t>EQUIPOS</t>
  </si>
  <si>
    <t>INFRAESTRUCTURA</t>
  </si>
  <si>
    <t>SOFTWARE</t>
  </si>
  <si>
    <t>FUNGIBLES</t>
  </si>
  <si>
    <t>RIESGOS</t>
  </si>
  <si>
    <t>PLANES DE TRATAMIENTO</t>
  </si>
  <si>
    <t>FONDO RESERVA</t>
  </si>
  <si>
    <t>Total Estipulado</t>
  </si>
  <si>
    <t>Total Costo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</si>
</sst>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 * #,##0_ ;_ * \-#,##0_ ;_ * &quot;-&quot;_ ;_ @_ "/>
    <numFmt numFmtId="165" formatCode="[$$]#,##0"/>
    <numFmt numFmtId="166" formatCode="_ &quot;$&quot;* #,##0_ ;_ &quot;$&quot;* \-#,##0_ ;_ &quot;$&quot;* &quot;-&quot;_ ;_ @_ "/>
  </numFmts>
  <fonts count="41">
    <font>
      <sz val="10.0"/>
      <color rgb="FF000000"/>
      <name val="Arial"/>
      <scheme val="minor"/>
    </font>
    <font>
      <sz val="10.0"/>
      <color rgb="FF000000"/>
      <name val="Arial"/>
    </font>
    <font>
      <color theme="1"/>
      <name val="Arial"/>
    </font>
    <font>
      <color rgb="FF000000"/>
      <name val="Arial"/>
    </font>
    <font>
      <b/>
      <sz val="14.0"/>
      <color theme="0"/>
      <name val="Arial"/>
    </font>
    <font>
      <b/>
      <color theme="1"/>
      <name val="Arial"/>
    </font>
    <font/>
    <font>
      <b/>
      <color rgb="FF000000"/>
      <name val="Arial"/>
    </font>
    <font>
      <b/>
      <sz val="12.0"/>
      <color theme="1"/>
      <name val="Lato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rgb="FF1155CC"/>
      <name val="Arial"/>
    </font>
    <font>
      <b/>
      <sz val="10.0"/>
      <color rgb="FFFF0000"/>
      <name val="Arial"/>
    </font>
    <font>
      <u/>
      <color rgb="FF0000FF"/>
    </font>
    <font>
      <b/>
      <sz val="12.0"/>
      <color theme="1"/>
      <name val="Arial"/>
    </font>
    <font>
      <b/>
      <sz val="8.0"/>
      <color theme="1"/>
      <name val="Arial"/>
    </font>
    <font>
      <b/>
      <sz val="12.0"/>
      <color theme="0"/>
      <name val="Arial"/>
    </font>
    <font>
      <b/>
      <sz val="10.0"/>
      <color theme="1"/>
      <name val="Arial"/>
    </font>
    <font>
      <b/>
      <sz val="10.0"/>
      <color theme="0"/>
      <name val="Arial"/>
    </font>
    <font>
      <b/>
      <sz val="6.0"/>
      <color theme="0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9.0"/>
      <color rgb="FFFF0000"/>
      <name val="Arial"/>
    </font>
    <font>
      <b/>
      <sz val="9.0"/>
      <color rgb="FF000000"/>
      <name val="Arial"/>
    </font>
    <font>
      <sz val="9.0"/>
      <color rgb="FF000000"/>
      <name val="Arial"/>
    </font>
    <font>
      <b/>
      <sz val="10.0"/>
      <color rgb="FF000000"/>
      <name val="Arial"/>
    </font>
    <font>
      <b/>
      <sz val="10.0"/>
      <color rgb="FF3366FF"/>
      <name val="Arial"/>
    </font>
    <font>
      <sz val="8.0"/>
      <color theme="0"/>
      <name val="Arial"/>
    </font>
    <font>
      <sz val="8.0"/>
      <color theme="1"/>
      <name val="Arial"/>
    </font>
    <font>
      <b/>
      <sz val="8.0"/>
      <color rgb="FFFF0000"/>
      <name val="Arial"/>
    </font>
    <font>
      <b/>
      <sz val="8.0"/>
      <color theme="0"/>
      <name val="Arial"/>
    </font>
    <font>
      <sz val="10.0"/>
      <color rgb="FFFFFFFF"/>
      <name val="Arial"/>
    </font>
    <font>
      <sz val="10.0"/>
      <color theme="1"/>
      <name val="Arial"/>
    </font>
    <font>
      <b/>
      <sz val="10.0"/>
      <color rgb="FFFFFFFF"/>
      <name val="Arial"/>
    </font>
    <font>
      <sz val="10.0"/>
      <color theme="0"/>
      <name val="Arial"/>
    </font>
    <font>
      <b/>
      <sz val="16.0"/>
      <color theme="1"/>
      <name val="Arial"/>
    </font>
    <font>
      <color theme="0"/>
      <name val="Arial"/>
    </font>
    <font>
      <b/>
      <sz val="14.0"/>
      <color rgb="FFFFFFFF"/>
      <name val="Arial"/>
    </font>
    <font>
      <sz val="8.0"/>
      <color rgb="FF00000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rgb="FFFEF2CB"/>
        <bgColor rgb="FFFEF2CB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rgb="FFFF0000"/>
      </patternFill>
    </fill>
    <fill>
      <patternFill patternType="solid">
        <fgColor rgb="FFC55A11"/>
        <bgColor rgb="FFC55A11"/>
      </patternFill>
    </fill>
  </fills>
  <borders count="4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/>
      <right/>
      <top/>
      <bottom/>
    </border>
    <border>
      <top style="thin">
        <color rgb="FF000000"/>
      </top>
    </border>
    <border>
      <right style="thin">
        <color rgb="FF000000"/>
      </right>
    </border>
    <border>
      <left/>
      <right style="thin">
        <color rgb="FF000000"/>
      </right>
      <top/>
      <bottom style="thin">
        <color rgb="FFA8D08D"/>
      </bottom>
    </border>
    <border>
      <left style="thin">
        <color rgb="FF000000"/>
      </left>
      <right style="thin">
        <color rgb="FF000000"/>
      </right>
      <top/>
      <bottom style="thin">
        <color rgb="FFA8D08D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FFD965"/>
      </bottom>
    </border>
    <border>
      <left style="thin">
        <color rgb="FF000000"/>
      </left>
      <right style="thin">
        <color rgb="FF000000"/>
      </right>
      <top/>
      <bottom style="thin">
        <color rgb="FFFFD965"/>
      </bottom>
    </border>
    <border>
      <left style="thin">
        <color rgb="FF000000"/>
      </left>
      <right/>
      <top/>
      <bottom style="thin">
        <color rgb="FFFFD965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9CC2E5"/>
      </top>
      <bottom style="thin">
        <color rgb="FF9CC2E5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/>
      <right/>
    </border>
    <border>
      <left/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</border>
    <border>
      <left/>
      <right/>
      <top/>
    </border>
    <border>
      <left/>
      <right style="thin">
        <color rgb="FF000000"/>
      </right>
      <top/>
    </border>
  </borders>
  <cellStyleXfs count="1">
    <xf borderId="0" fillId="0" fontId="0" numFmtId="0" applyAlignment="1" applyFont="1"/>
  </cellStyleXfs>
  <cellXfs count="2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right" vertical="center"/>
    </xf>
    <xf borderId="0" fillId="0" fontId="2" numFmtId="0" xfId="0" applyAlignment="1" applyFont="1">
      <alignment horizontal="center" shrinkToFit="0" wrapText="1"/>
    </xf>
    <xf borderId="0" fillId="0" fontId="3" numFmtId="0" xfId="0" applyFont="1"/>
    <xf borderId="0" fillId="0" fontId="4" numFmtId="0" xfId="0" applyAlignment="1" applyFont="1">
      <alignment horizontal="center" vertical="center"/>
    </xf>
    <xf borderId="1" fillId="2" fontId="5" numFmtId="0" xfId="0" applyAlignment="1" applyBorder="1" applyFill="1" applyFont="1">
      <alignment horizontal="center" vertical="bottom"/>
    </xf>
    <xf borderId="1" fillId="2" fontId="5" numFmtId="0" xfId="0" applyAlignment="1" applyBorder="1" applyFont="1">
      <alignment readingOrder="0" vertical="bottom"/>
    </xf>
    <xf borderId="2" fillId="2" fontId="5" numFmtId="0" xfId="0" applyAlignment="1" applyBorder="1" applyFont="1">
      <alignment readingOrder="0" vertical="bottom"/>
    </xf>
    <xf borderId="3" fillId="0" fontId="6" numFmtId="0" xfId="0" applyBorder="1" applyFont="1"/>
    <xf borderId="4" fillId="0" fontId="6" numFmtId="0" xfId="0" applyBorder="1" applyFont="1"/>
    <xf borderId="0" fillId="0" fontId="2" numFmtId="0" xfId="0" applyAlignment="1" applyFont="1">
      <alignment vertical="bottom"/>
    </xf>
    <xf borderId="1" fillId="2" fontId="5" numFmtId="0" xfId="0" applyAlignment="1" applyBorder="1" applyFont="1">
      <alignment horizontal="center" shrinkToFit="0" vertical="bottom" wrapText="1"/>
    </xf>
    <xf borderId="2" fillId="2" fontId="7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center" vertical="center"/>
    </xf>
    <xf borderId="6" fillId="3" fontId="8" numFmtId="0" xfId="0" applyAlignment="1" applyBorder="1" applyFill="1" applyFont="1">
      <alignment horizontal="center" readingOrder="0" shrinkToFit="0" vertical="center" wrapText="1"/>
    </xf>
    <xf borderId="1" fillId="0" fontId="9" numFmtId="3" xfId="0" applyAlignment="1" applyBorder="1" applyFont="1" applyNumberFormat="1">
      <alignment readingOrder="0"/>
    </xf>
    <xf borderId="1" fillId="0" fontId="5" numFmtId="3" xfId="0" applyAlignment="1" applyBorder="1" applyFont="1" applyNumberFormat="1">
      <alignment horizontal="left" readingOrder="0" shrinkToFit="0" vertical="bottom" wrapText="1"/>
    </xf>
    <xf borderId="1" fillId="0" fontId="5" numFmtId="3" xfId="0" applyAlignment="1" applyBorder="1" applyFont="1" applyNumberFormat="1">
      <alignment horizontal="center" vertical="center"/>
    </xf>
    <xf borderId="1" fillId="0" fontId="10" numFmtId="0" xfId="0" applyAlignment="1" applyBorder="1" applyFont="1">
      <alignment horizontal="left" readingOrder="0" shrinkToFit="0" wrapText="1"/>
    </xf>
    <xf borderId="2" fillId="0" fontId="11" numFmtId="0" xfId="0" applyAlignment="1" applyBorder="1" applyFont="1">
      <alignment horizontal="left" readingOrder="0" vertical="center"/>
    </xf>
    <xf borderId="1" fillId="0" fontId="5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vertical="bottom"/>
    </xf>
    <xf borderId="2" fillId="0" fontId="3" numFmtId="3" xfId="0" applyAlignment="1" applyBorder="1" applyFont="1" applyNumberFormat="1">
      <alignment horizontal="center"/>
    </xf>
    <xf borderId="7" fillId="0" fontId="6" numFmtId="0" xfId="0" applyBorder="1" applyFont="1"/>
    <xf borderId="0" fillId="0" fontId="12" numFmtId="0" xfId="0" applyAlignment="1" applyFont="1">
      <alignment readingOrder="0"/>
    </xf>
    <xf borderId="3" fillId="0" fontId="10" numFmtId="10" xfId="0" applyAlignment="1" applyBorder="1" applyFont="1" applyNumberFormat="1">
      <alignment horizontal="left" vertical="center"/>
    </xf>
    <xf borderId="4" fillId="0" fontId="10" numFmtId="10" xfId="0" applyAlignment="1" applyBorder="1" applyFont="1" applyNumberFormat="1">
      <alignment horizontal="left" vertical="center"/>
    </xf>
    <xf borderId="2" fillId="0" fontId="3" numFmtId="0" xfId="0" applyAlignment="1" applyBorder="1" applyFont="1">
      <alignment horizontal="center"/>
    </xf>
    <xf borderId="1" fillId="0" fontId="5" numFmtId="3" xfId="0" applyAlignment="1" applyBorder="1" applyFont="1" applyNumberFormat="1">
      <alignment horizontal="right" vertical="bottom"/>
    </xf>
    <xf borderId="2" fillId="0" fontId="13" numFmtId="3" xfId="0" applyAlignment="1" applyBorder="1" applyFont="1" applyNumberFormat="1">
      <alignment horizontal="left" vertical="center"/>
    </xf>
    <xf borderId="2" fillId="0" fontId="13" numFmtId="10" xfId="0" applyAlignment="1" applyBorder="1" applyFont="1" applyNumberFormat="1">
      <alignment horizontal="left" vertical="center"/>
    </xf>
    <xf borderId="0" fillId="0" fontId="3" numFmtId="0" xfId="0" applyAlignment="1" applyFont="1">
      <alignment vertical="bottom"/>
    </xf>
    <xf borderId="1" fillId="0" fontId="2" numFmtId="3" xfId="0" applyAlignment="1" applyBorder="1" applyFont="1" applyNumberFormat="1">
      <alignment horizontal="right" vertical="bottom"/>
    </xf>
    <xf borderId="2" fillId="0" fontId="13" numFmtId="9" xfId="0" applyAlignment="1" applyBorder="1" applyFont="1" applyNumberFormat="1">
      <alignment horizontal="left" vertical="center"/>
    </xf>
    <xf borderId="0" fillId="0" fontId="14" numFmtId="0" xfId="0" applyFont="1"/>
    <xf borderId="2" fillId="0" fontId="13" numFmtId="0" xfId="0" applyAlignment="1" applyBorder="1" applyFont="1">
      <alignment horizontal="left" vertical="center"/>
    </xf>
    <xf borderId="0" fillId="0" fontId="2" numFmtId="0" xfId="0" applyAlignment="1" applyFont="1">
      <alignment horizontal="center" shrinkToFit="0" vertical="bottom" wrapText="1"/>
    </xf>
    <xf borderId="8" fillId="0" fontId="6" numFmtId="0" xfId="0" applyBorder="1" applyFont="1"/>
    <xf borderId="0" fillId="0" fontId="2" numFmtId="0" xfId="0" applyAlignment="1" applyFont="1">
      <alignment horizontal="left" vertical="center"/>
    </xf>
    <xf borderId="2" fillId="2" fontId="5" numFmtId="0" xfId="0" applyAlignment="1" applyBorder="1" applyFont="1">
      <alignment horizontal="center" vertical="bottom"/>
    </xf>
    <xf borderId="2" fillId="2" fontId="5" numFmtId="0" xfId="0" applyAlignment="1" applyBorder="1" applyFont="1">
      <alignment horizontal="left" readingOrder="0" vertical="center"/>
    </xf>
    <xf borderId="9" fillId="4" fontId="8" numFmtId="0" xfId="0" applyAlignment="1" applyBorder="1" applyFill="1" applyFont="1">
      <alignment horizontal="center" readingOrder="0" shrinkToFit="0" vertical="center" wrapText="1"/>
    </xf>
    <xf borderId="1" fillId="0" fontId="5" numFmtId="3" xfId="0" applyAlignment="1" applyBorder="1" applyFont="1" applyNumberFormat="1">
      <alignment horizontal="center" readingOrder="0" vertical="center"/>
    </xf>
    <xf borderId="3" fillId="0" fontId="13" numFmtId="0" xfId="0" applyAlignment="1" applyBorder="1" applyFont="1">
      <alignment horizontal="left" vertical="center"/>
    </xf>
    <xf borderId="4" fillId="0" fontId="13" numFmtId="0" xfId="0" applyAlignment="1" applyBorder="1" applyFont="1">
      <alignment horizontal="left" vertical="center"/>
    </xf>
    <xf borderId="5" fillId="0" fontId="6" numFmtId="0" xfId="0" applyBorder="1" applyFont="1"/>
    <xf borderId="0" fillId="0" fontId="15" numFmtId="3" xfId="0" applyAlignment="1" applyFont="1" applyNumberFormat="1">
      <alignment readingOrder="0"/>
    </xf>
    <xf borderId="3" fillId="0" fontId="13" numFmtId="3" xfId="0" applyAlignment="1" applyBorder="1" applyFont="1" applyNumberFormat="1">
      <alignment horizontal="left" vertical="center"/>
    </xf>
    <xf borderId="4" fillId="0" fontId="13" numFmtId="3" xfId="0" applyAlignment="1" applyBorder="1" applyFont="1" applyNumberFormat="1">
      <alignment horizontal="left" vertical="center"/>
    </xf>
    <xf borderId="0" fillId="0" fontId="3" numFmtId="0" xfId="0" applyAlignment="1" applyFont="1">
      <alignment horizontal="right" vertical="bottom"/>
    </xf>
    <xf borderId="10" fillId="0" fontId="6" numFmtId="0" xfId="0" applyBorder="1" applyFont="1"/>
    <xf borderId="0" fillId="0" fontId="1" numFmtId="0" xfId="0" applyAlignment="1" applyFont="1">
      <alignment horizontal="left" vertical="center"/>
    </xf>
    <xf borderId="0" fillId="0" fontId="10" numFmtId="0" xfId="0" applyAlignment="1" applyFont="1">
      <alignment horizontal="left" vertical="center"/>
    </xf>
    <xf borderId="9" fillId="5" fontId="8" numFmtId="0" xfId="0" applyAlignment="1" applyBorder="1" applyFill="1" applyFont="1">
      <alignment horizontal="center" readingOrder="0" shrinkToFit="0" vertical="center" wrapText="1"/>
    </xf>
    <xf borderId="2" fillId="0" fontId="5" numFmtId="3" xfId="0" applyAlignment="1" applyBorder="1" applyFont="1" applyNumberFormat="1">
      <alignment readingOrder="0"/>
    </xf>
    <xf borderId="1" fillId="0" fontId="5" numFmtId="3" xfId="0" applyAlignment="1" applyBorder="1" applyFont="1" applyNumberFormat="1">
      <alignment horizontal="left" readingOrder="0" shrinkToFit="0" wrapText="1"/>
    </xf>
    <xf borderId="1" fillId="0" fontId="5" numFmtId="3" xfId="0" applyAlignment="1" applyBorder="1" applyFont="1" applyNumberFormat="1">
      <alignment horizontal="center" readingOrder="0" shrinkToFit="0" vertical="center" wrapText="0"/>
    </xf>
    <xf borderId="1" fillId="0" fontId="5" numFmtId="3" xfId="0" applyAlignment="1" applyBorder="1" applyFont="1" applyNumberFormat="1">
      <alignment horizontal="left" readingOrder="0"/>
    </xf>
    <xf borderId="2" fillId="0" fontId="5" numFmtId="3" xfId="0" applyAlignment="1" applyBorder="1" applyFont="1" applyNumberFormat="1">
      <alignment horizontal="right" readingOrder="0" vertical="bottom"/>
    </xf>
    <xf borderId="1" fillId="0" fontId="5" numFmtId="3" xfId="0" applyAlignment="1" applyBorder="1" applyFont="1" applyNumberFormat="1">
      <alignment horizontal="left" readingOrder="0" vertical="bottom"/>
    </xf>
    <xf borderId="1" fillId="0" fontId="5" numFmtId="3" xfId="0" applyAlignment="1" applyBorder="1" applyFont="1" applyNumberFormat="1">
      <alignment horizontal="center" shrinkToFit="0" vertical="center" wrapText="0"/>
    </xf>
    <xf borderId="2" fillId="0" fontId="5" numFmtId="3" xfId="0" applyAlignment="1" applyBorder="1" applyFont="1" applyNumberFormat="1">
      <alignment horizontal="right" vertical="bottom"/>
    </xf>
    <xf borderId="2" fillId="0" fontId="13" numFmtId="0" xfId="0" applyAlignment="1" applyBorder="1" applyFont="1">
      <alignment vertical="center"/>
    </xf>
    <xf borderId="2" fillId="0" fontId="13" numFmtId="0" xfId="0" applyAlignment="1" applyBorder="1" applyFont="1">
      <alignment vertical="bottom"/>
    </xf>
    <xf borderId="1" fillId="0" fontId="5" numFmtId="3" xfId="0" applyAlignment="1" applyBorder="1" applyFont="1" applyNumberFormat="1">
      <alignment horizontal="left" vertical="bottom"/>
    </xf>
    <xf borderId="9" fillId="4" fontId="8" numFmtId="0" xfId="0" applyAlignment="1" applyBorder="1" applyFont="1">
      <alignment horizontal="center" shrinkToFit="0" vertical="center" wrapText="1"/>
    </xf>
    <xf borderId="2" fillId="0" fontId="5" numFmtId="3" xfId="0" applyBorder="1" applyFont="1" applyNumberFormat="1"/>
    <xf borderId="1" fillId="0" fontId="5" numFmtId="3" xfId="0" applyBorder="1" applyFont="1" applyNumberFormat="1"/>
    <xf borderId="2" fillId="0" fontId="13" numFmtId="3" xfId="0" applyAlignment="1" applyBorder="1" applyFont="1" applyNumberFormat="1">
      <alignment vertical="bottom"/>
    </xf>
    <xf borderId="0" fillId="0" fontId="16" numFmtId="0" xfId="0" applyFont="1"/>
    <xf borderId="0" fillId="0" fontId="17" numFmtId="0" xfId="0" applyFont="1"/>
    <xf borderId="0" fillId="0" fontId="17" numFmtId="0" xfId="0" applyAlignment="1" applyFont="1">
      <alignment horizontal="center" vertical="center"/>
    </xf>
    <xf borderId="11" fillId="6" fontId="18" numFmtId="10" xfId="0" applyBorder="1" applyFill="1" applyFont="1" applyNumberFormat="1"/>
    <xf borderId="0" fillId="0" fontId="19" numFmtId="0" xfId="0" applyFont="1"/>
    <xf borderId="7" fillId="0" fontId="20" numFmtId="0" xfId="0" applyAlignment="1" applyBorder="1" applyFont="1">
      <alignment horizontal="center" vertical="center"/>
    </xf>
    <xf borderId="7" fillId="0" fontId="21" numFmtId="0" xfId="0" applyAlignment="1" applyBorder="1" applyFont="1">
      <alignment horizontal="center" shrinkToFit="0" vertical="center" wrapText="1"/>
    </xf>
    <xf borderId="7" fillId="0" fontId="21" numFmtId="0" xfId="0" applyAlignment="1" applyBorder="1" applyFont="1">
      <alignment horizontal="center" vertical="center"/>
    </xf>
    <xf borderId="7" fillId="0" fontId="21" numFmtId="0" xfId="0" applyAlignment="1" applyBorder="1" applyFont="1">
      <alignment horizontal="center" shrinkToFit="0" wrapText="1"/>
    </xf>
    <xf borderId="2" fillId="0" fontId="22" numFmtId="0" xfId="0" applyBorder="1" applyFont="1"/>
    <xf borderId="0" fillId="0" fontId="23" numFmtId="0" xfId="0" applyFont="1"/>
    <xf borderId="0" fillId="0" fontId="23" numFmtId="0" xfId="0" applyAlignment="1" applyFont="1">
      <alignment horizontal="center" vertical="center"/>
    </xf>
    <xf borderId="3" fillId="0" fontId="23" numFmtId="164" xfId="0" applyBorder="1" applyFont="1" applyNumberFormat="1"/>
    <xf borderId="1" fillId="0" fontId="23" numFmtId="0" xfId="0" applyAlignment="1" applyBorder="1" applyFont="1">
      <alignment horizontal="right"/>
    </xf>
    <xf borderId="1" fillId="0" fontId="24" numFmtId="3" xfId="0" applyBorder="1" applyFont="1" applyNumberFormat="1"/>
    <xf borderId="1" fillId="0" fontId="23" numFmtId="3" xfId="0" applyBorder="1" applyFont="1" applyNumberFormat="1"/>
    <xf borderId="1" fillId="0" fontId="24" numFmtId="9" xfId="0" applyBorder="1" applyFont="1" applyNumberFormat="1"/>
    <xf borderId="1" fillId="0" fontId="24" numFmtId="0" xfId="0" applyAlignment="1" applyBorder="1" applyFont="1">
      <alignment horizontal="center" vertical="center"/>
    </xf>
    <xf borderId="2" fillId="0" fontId="23" numFmtId="164" xfId="0" applyBorder="1" applyFont="1" applyNumberFormat="1"/>
    <xf borderId="2" fillId="0" fontId="23" numFmtId="0" xfId="0" applyAlignment="1" applyBorder="1" applyFont="1">
      <alignment horizontal="right"/>
    </xf>
    <xf borderId="0" fillId="0" fontId="24" numFmtId="0" xfId="0" applyFont="1"/>
    <xf borderId="0" fillId="0" fontId="24" numFmtId="0" xfId="0" applyAlignment="1" applyFont="1">
      <alignment horizontal="center" vertical="center"/>
    </xf>
    <xf borderId="9" fillId="0" fontId="22" numFmtId="0" xfId="0" applyBorder="1" applyFont="1"/>
    <xf borderId="12" fillId="0" fontId="23" numFmtId="0" xfId="0" applyBorder="1" applyFont="1"/>
    <xf borderId="12" fillId="0" fontId="23" numFmtId="0" xfId="0" applyAlignment="1" applyBorder="1" applyFont="1">
      <alignment horizontal="center" vertical="center"/>
    </xf>
    <xf borderId="9" fillId="0" fontId="22" numFmtId="164" xfId="0" applyBorder="1" applyFont="1" applyNumberFormat="1"/>
    <xf borderId="0" fillId="0" fontId="25" numFmtId="0" xfId="0" applyFont="1"/>
    <xf borderId="0" fillId="0" fontId="23" numFmtId="0" xfId="0" applyAlignment="1" applyFont="1">
      <alignment shrinkToFit="0" wrapText="1"/>
    </xf>
    <xf borderId="0" fillId="0" fontId="26" numFmtId="0" xfId="0" applyAlignment="1" applyFont="1">
      <alignment horizontal="center" vertical="center"/>
    </xf>
    <xf borderId="0" fillId="0" fontId="22" numFmtId="0" xfId="0" applyFont="1"/>
    <xf borderId="0" fillId="0" fontId="2" numFmtId="0" xfId="0" applyFont="1"/>
    <xf borderId="0" fillId="0" fontId="27" numFmtId="0" xfId="0" applyFont="1"/>
    <xf borderId="0" fillId="0" fontId="28" numFmtId="0" xfId="0" applyFont="1"/>
    <xf borderId="11" fillId="7" fontId="18" numFmtId="10" xfId="0" applyBorder="1" applyFill="1" applyFont="1" applyNumberFormat="1"/>
    <xf borderId="13" fillId="7" fontId="29" numFmtId="0" xfId="0" applyAlignment="1" applyBorder="1" applyFont="1">
      <alignment horizontal="center" vertical="center"/>
    </xf>
    <xf borderId="7" fillId="7" fontId="29" numFmtId="0" xfId="0" applyAlignment="1" applyBorder="1" applyFont="1">
      <alignment horizontal="center" vertical="center"/>
    </xf>
    <xf borderId="5" fillId="7" fontId="29" numFmtId="0" xfId="0" applyAlignment="1" applyBorder="1" applyFont="1">
      <alignment horizontal="center" shrinkToFit="0" vertical="center" wrapText="1"/>
    </xf>
    <xf borderId="7" fillId="7" fontId="29" numFmtId="0" xfId="0" applyAlignment="1" applyBorder="1" applyFont="1">
      <alignment horizontal="center" shrinkToFit="0" vertical="center" wrapText="1"/>
    </xf>
    <xf borderId="0" fillId="0" fontId="30" numFmtId="0" xfId="0" applyFont="1"/>
    <xf borderId="4" fillId="8" fontId="30" numFmtId="0" xfId="0" applyAlignment="1" applyBorder="1" applyFill="1" applyFont="1">
      <alignment horizontal="center" shrinkToFit="0" vertical="center" wrapText="1"/>
    </xf>
    <xf borderId="1" fillId="8" fontId="30" numFmtId="0" xfId="0" applyAlignment="1" applyBorder="1" applyFont="1">
      <alignment shrinkToFit="0" vertical="center" wrapText="1"/>
    </xf>
    <xf borderId="1" fillId="8" fontId="31" numFmtId="3" xfId="0" applyBorder="1" applyFont="1" applyNumberFormat="1"/>
    <xf borderId="2" fillId="8" fontId="31" numFmtId="165" xfId="0" applyBorder="1" applyFont="1" applyNumberFormat="1"/>
    <xf borderId="1" fillId="8" fontId="31" numFmtId="0" xfId="0" applyBorder="1" applyFont="1"/>
    <xf borderId="2" fillId="8" fontId="30" numFmtId="165" xfId="0" applyBorder="1" applyFont="1" applyNumberFormat="1"/>
    <xf borderId="4" fillId="9" fontId="30" numFmtId="0" xfId="0" applyAlignment="1" applyBorder="1" applyFill="1" applyFont="1">
      <alignment horizontal="center" shrinkToFit="0" vertical="center" wrapText="1"/>
    </xf>
    <xf borderId="1" fillId="9" fontId="30" numFmtId="0" xfId="0" applyBorder="1" applyFont="1"/>
    <xf borderId="1" fillId="9" fontId="31" numFmtId="3" xfId="0" applyBorder="1" applyFont="1" applyNumberFormat="1"/>
    <xf borderId="1" fillId="9" fontId="31" numFmtId="0" xfId="0" applyBorder="1" applyFont="1"/>
    <xf borderId="2" fillId="9" fontId="30" numFmtId="165" xfId="0" applyBorder="1" applyFont="1" applyNumberFormat="1"/>
    <xf borderId="1" fillId="8" fontId="30" numFmtId="0" xfId="0" applyBorder="1" applyFont="1"/>
    <xf borderId="1" fillId="8" fontId="30" numFmtId="0" xfId="0" applyAlignment="1" applyBorder="1" applyFont="1">
      <alignment horizontal="center" shrinkToFit="0" vertical="center" wrapText="1"/>
    </xf>
    <xf borderId="1" fillId="8" fontId="30" numFmtId="165" xfId="0" applyBorder="1" applyFont="1" applyNumberFormat="1"/>
    <xf borderId="2" fillId="9" fontId="22" numFmtId="0" xfId="0" applyBorder="1" applyFont="1"/>
    <xf borderId="1" fillId="9" fontId="27" numFmtId="165" xfId="0" applyBorder="1" applyFont="1" applyNumberFormat="1"/>
    <xf borderId="14" fillId="7" fontId="32" numFmtId="0" xfId="0" applyAlignment="1" applyBorder="1" applyFont="1">
      <alignment horizontal="center" shrinkToFit="0" vertical="center" wrapText="1"/>
    </xf>
    <xf borderId="15" fillId="7" fontId="32" numFmtId="0" xfId="0" applyAlignment="1" applyBorder="1" applyFont="1">
      <alignment horizontal="center" vertical="center"/>
    </xf>
    <xf borderId="1" fillId="8" fontId="30" numFmtId="0" xfId="0" applyAlignment="1" applyBorder="1" applyFont="1">
      <alignment horizontal="left" shrinkToFit="0" vertical="center" wrapText="1"/>
    </xf>
    <xf borderId="1" fillId="8" fontId="31" numFmtId="0" xfId="0" applyAlignment="1" applyBorder="1" applyFont="1">
      <alignment horizontal="center" shrinkToFit="0" vertical="center" wrapText="1"/>
    </xf>
    <xf borderId="1" fillId="8" fontId="31" numFmtId="0" xfId="0" applyAlignment="1" applyBorder="1" applyFont="1">
      <alignment horizontal="center" vertical="center"/>
    </xf>
    <xf borderId="1" fillId="9" fontId="30" numFmtId="0" xfId="0" applyAlignment="1" applyBorder="1" applyFont="1">
      <alignment horizontal="left" shrinkToFit="0" vertical="center" wrapText="1"/>
    </xf>
    <xf borderId="1" fillId="9" fontId="31" numFmtId="0" xfId="0" applyAlignment="1" applyBorder="1" applyFont="1">
      <alignment horizontal="center" shrinkToFit="0" vertical="center" wrapText="1"/>
    </xf>
    <xf borderId="1" fillId="9" fontId="31" numFmtId="0" xfId="0" applyAlignment="1" applyBorder="1" applyFont="1">
      <alignment horizontal="center" vertical="center"/>
    </xf>
    <xf borderId="2" fillId="8" fontId="22" numFmtId="0" xfId="0" applyBorder="1" applyFont="1"/>
    <xf borderId="1" fillId="8" fontId="27" numFmtId="165" xfId="0" applyBorder="1" applyFont="1" applyNumberFormat="1"/>
    <xf borderId="0" fillId="0" fontId="2" numFmtId="0" xfId="0" applyAlignment="1" applyFont="1">
      <alignment shrinkToFit="0" wrapText="1"/>
    </xf>
    <xf borderId="0" fillId="0" fontId="19" numFmtId="0" xfId="0" applyAlignment="1" applyFont="1">
      <alignment vertical="center"/>
    </xf>
    <xf borderId="0" fillId="0" fontId="1" numFmtId="0" xfId="0" applyAlignment="1" applyFont="1">
      <alignment vertical="center"/>
    </xf>
    <xf borderId="11" fillId="10" fontId="27" numFmtId="10" xfId="0" applyAlignment="1" applyBorder="1" applyFill="1" applyFont="1" applyNumberFormat="1">
      <alignment vertical="center"/>
    </xf>
    <xf borderId="13" fillId="0" fontId="33" numFmtId="0" xfId="0" applyAlignment="1" applyBorder="1" applyFont="1">
      <alignment horizontal="center" vertical="center"/>
    </xf>
    <xf borderId="7" fillId="0" fontId="33" numFmtId="0" xfId="0" applyAlignment="1" applyBorder="1" applyFont="1">
      <alignment horizontal="center" shrinkToFit="0" vertical="center" wrapText="1"/>
    </xf>
    <xf borderId="7" fillId="0" fontId="33" numFmtId="0" xfId="0" applyAlignment="1" applyBorder="1" applyFont="1">
      <alignment horizontal="center" vertical="center"/>
    </xf>
    <xf borderId="4" fillId="0" fontId="30" numFmtId="0" xfId="0" applyAlignment="1" applyBorder="1" applyFont="1">
      <alignment horizontal="center" shrinkToFit="0" vertical="center" wrapText="1"/>
    </xf>
    <xf borderId="1" fillId="0" fontId="30" numFmtId="3" xfId="0" applyBorder="1" applyFont="1" applyNumberFormat="1"/>
    <xf borderId="1" fillId="0" fontId="30" numFmtId="0" xfId="0" applyBorder="1" applyFont="1"/>
    <xf borderId="2" fillId="0" fontId="30" numFmtId="0" xfId="0" applyBorder="1" applyFont="1"/>
    <xf borderId="2" fillId="0" fontId="30" numFmtId="165" xfId="0" applyBorder="1" applyFont="1" applyNumberFormat="1"/>
    <xf borderId="1" fillId="0" fontId="30" numFmtId="1" xfId="0" applyBorder="1" applyFont="1" applyNumberFormat="1"/>
    <xf borderId="16" fillId="10" fontId="19" numFmtId="0" xfId="0" applyBorder="1" applyFont="1"/>
    <xf borderId="17" fillId="10" fontId="34" numFmtId="0" xfId="0" applyBorder="1" applyFont="1"/>
    <xf borderId="18" fillId="10" fontId="34" numFmtId="0" xfId="0" applyBorder="1" applyFont="1"/>
    <xf borderId="1" fillId="10" fontId="19" numFmtId="165" xfId="0" applyBorder="1" applyFont="1" applyNumberFormat="1"/>
    <xf borderId="0" fillId="0" fontId="34" numFmtId="0" xfId="0" applyFont="1"/>
    <xf borderId="19" fillId="10" fontId="35" numFmtId="0" xfId="0" applyAlignment="1" applyBorder="1" applyFont="1">
      <alignment horizontal="center" vertical="center"/>
    </xf>
    <xf borderId="20" fillId="10" fontId="35" numFmtId="0" xfId="0" applyAlignment="1" applyBorder="1" applyFont="1">
      <alignment horizontal="center" shrinkToFit="0" vertical="center" wrapText="1"/>
    </xf>
    <xf borderId="20" fillId="10" fontId="35" numFmtId="0" xfId="0" applyAlignment="1" applyBorder="1" applyFont="1">
      <alignment horizontal="center" vertical="center"/>
    </xf>
    <xf borderId="21" fillId="10" fontId="35" numFmtId="0" xfId="0" applyAlignment="1" applyBorder="1" applyFont="1">
      <alignment horizontal="center" shrinkToFit="0" vertical="center" wrapText="1"/>
    </xf>
    <xf borderId="18" fillId="11" fontId="30" numFmtId="0" xfId="0" applyBorder="1" applyFill="1" applyFont="1"/>
    <xf borderId="1" fillId="11" fontId="30" numFmtId="0" xfId="0" applyBorder="1" applyFont="1"/>
    <xf borderId="16" fillId="11" fontId="30" numFmtId="165" xfId="0" applyBorder="1" applyFont="1" applyNumberFormat="1"/>
    <xf borderId="4" fillId="0" fontId="30" numFmtId="0" xfId="0" applyBorder="1" applyFont="1"/>
    <xf borderId="0" fillId="0" fontId="19" numFmtId="0" xfId="0" applyAlignment="1" applyFont="1">
      <alignment horizontal="left" vertical="center"/>
    </xf>
    <xf borderId="13" fillId="0" fontId="36" numFmtId="0" xfId="0" applyAlignment="1" applyBorder="1" applyFont="1">
      <alignment horizontal="center" shrinkToFit="0" vertical="center" wrapText="1"/>
    </xf>
    <xf borderId="7" fillId="0" fontId="36" numFmtId="0" xfId="0" applyAlignment="1" applyBorder="1" applyFont="1">
      <alignment horizontal="center" shrinkToFit="0" vertical="center" wrapText="1"/>
    </xf>
    <xf borderId="5" fillId="0" fontId="36" numFmtId="0" xfId="0" applyAlignment="1" applyBorder="1" applyFont="1">
      <alignment horizontal="center" shrinkToFit="0" vertical="center" wrapText="1"/>
    </xf>
    <xf borderId="1" fillId="0" fontId="31" numFmtId="165" xfId="0" applyBorder="1" applyFont="1" applyNumberFormat="1"/>
    <xf borderId="1" fillId="0" fontId="31" numFmtId="0" xfId="0" applyAlignment="1" applyBorder="1" applyFont="1">
      <alignment horizontal="center" vertical="center"/>
    </xf>
    <xf borderId="22" fillId="12" fontId="27" numFmtId="0" xfId="0" applyBorder="1" applyFill="1" applyFont="1"/>
    <xf borderId="22" fillId="12" fontId="36" numFmtId="0" xfId="0" applyBorder="1" applyFont="1"/>
    <xf borderId="23" fillId="12" fontId="36" numFmtId="0" xfId="0" applyBorder="1" applyFont="1"/>
    <xf borderId="24" fillId="12" fontId="27" numFmtId="166" xfId="0" applyBorder="1" applyFont="1" applyNumberFormat="1"/>
    <xf borderId="25" fillId="12" fontId="20" numFmtId="10" xfId="0" applyAlignment="1" applyBorder="1" applyFont="1" applyNumberFormat="1">
      <alignment horizontal="center" vertical="center"/>
    </xf>
    <xf borderId="4" fillId="0" fontId="17" numFmtId="0" xfId="0" applyBorder="1" applyFont="1"/>
    <xf borderId="1" fillId="0" fontId="17" numFmtId="10" xfId="0" applyAlignment="1" applyBorder="1" applyFont="1" applyNumberFormat="1">
      <alignment horizontal="center"/>
    </xf>
    <xf borderId="2" fillId="0" fontId="31" numFmtId="165" xfId="0" applyBorder="1" applyFont="1" applyNumberFormat="1"/>
    <xf borderId="2" fillId="0" fontId="17" numFmtId="165" xfId="0" applyBorder="1" applyFont="1" applyNumberFormat="1"/>
    <xf borderId="4" fillId="0" fontId="30" numFmtId="0" xfId="0" applyAlignment="1" applyBorder="1" applyFont="1">
      <alignment horizontal="right"/>
    </xf>
    <xf borderId="1" fillId="0" fontId="30" numFmtId="10" xfId="0" applyAlignment="1" applyBorder="1" applyFont="1" applyNumberFormat="1">
      <alignment horizontal="right"/>
    </xf>
    <xf borderId="22" fillId="12" fontId="20" numFmtId="0" xfId="0" applyBorder="1" applyFont="1"/>
    <xf borderId="24" fillId="12" fontId="27" numFmtId="165" xfId="0" applyBorder="1" applyFont="1" applyNumberFormat="1"/>
    <xf borderId="25" fillId="12" fontId="20" numFmtId="9" xfId="0" applyAlignment="1" applyBorder="1" applyFont="1" applyNumberFormat="1">
      <alignment horizontal="center" vertical="center"/>
    </xf>
    <xf borderId="0" fillId="0" fontId="20" numFmtId="0" xfId="0" applyAlignment="1" applyFont="1">
      <alignment horizontal="center" vertical="center"/>
    </xf>
    <xf borderId="0" fillId="0" fontId="20" numFmtId="0" xfId="0" applyAlignment="1" applyFont="1">
      <alignment horizontal="center" shrinkToFit="0" vertical="center" wrapText="1"/>
    </xf>
    <xf borderId="0" fillId="0" fontId="19" numFmtId="0" xfId="0" applyFont="1"/>
    <xf borderId="0" fillId="0" fontId="14" numFmtId="9" xfId="0" applyAlignment="1" applyFont="1" applyNumberFormat="1">
      <alignment horizontal="center" vertical="center"/>
    </xf>
    <xf borderId="0" fillId="0" fontId="1" numFmtId="164" xfId="0" applyFont="1" applyNumberFormat="1"/>
    <xf borderId="11" fillId="12" fontId="20" numFmtId="0" xfId="0" applyBorder="1" applyFont="1"/>
    <xf borderId="11" fillId="12" fontId="1" numFmtId="0" xfId="0" applyBorder="1" applyFont="1"/>
    <xf borderId="11" fillId="12" fontId="36" numFmtId="164" xfId="0" applyBorder="1" applyFont="1" applyNumberFormat="1"/>
    <xf borderId="0" fillId="0" fontId="37" numFmtId="0" xfId="0" applyFont="1"/>
    <xf borderId="0" fillId="0" fontId="16" numFmtId="0" xfId="0" applyAlignment="1" applyFont="1">
      <alignment horizontal="center" vertical="center"/>
    </xf>
    <xf borderId="0" fillId="0" fontId="38" numFmtId="0" xfId="0" applyFont="1"/>
    <xf borderId="24" fillId="13" fontId="39" numFmtId="0" xfId="0" applyAlignment="1" applyBorder="1" applyFill="1" applyFont="1">
      <alignment horizontal="center" vertical="center"/>
    </xf>
    <xf borderId="22" fillId="13" fontId="4" numFmtId="10" xfId="0" applyBorder="1" applyFont="1" applyNumberFormat="1"/>
    <xf borderId="22" fillId="13" fontId="4" numFmtId="0" xfId="0" applyAlignment="1" applyBorder="1" applyFont="1">
      <alignment horizontal="center" vertical="center"/>
    </xf>
    <xf borderId="23" fillId="13" fontId="39" numFmtId="165" xfId="0" applyAlignment="1" applyBorder="1" applyFont="1" applyNumberFormat="1">
      <alignment horizontal="right" vertical="center"/>
    </xf>
    <xf borderId="0" fillId="0" fontId="36" numFmtId="0" xfId="0" applyFont="1"/>
    <xf borderId="26" fillId="8" fontId="19" numFmtId="0" xfId="0" applyAlignment="1" applyBorder="1" applyFont="1">
      <alignment horizontal="center" vertical="center"/>
    </xf>
    <xf borderId="11" fillId="8" fontId="19" numFmtId="10" xfId="0" applyAlignment="1" applyBorder="1" applyFont="1" applyNumberFormat="1">
      <alignment horizontal="center" vertical="center"/>
    </xf>
    <xf borderId="11" fillId="8" fontId="19" numFmtId="0" xfId="0" applyAlignment="1" applyBorder="1" applyFont="1">
      <alignment horizontal="center" vertical="center"/>
    </xf>
    <xf borderId="11" fillId="8" fontId="34" numFmtId="9" xfId="0" applyAlignment="1" applyBorder="1" applyFont="1" applyNumberFormat="1">
      <alignment horizontal="right" vertical="center"/>
    </xf>
    <xf borderId="27" fillId="8" fontId="27" numFmtId="166" xfId="0" applyAlignment="1" applyBorder="1" applyFont="1" applyNumberFormat="1">
      <alignment horizontal="center" vertical="center"/>
    </xf>
    <xf borderId="0" fillId="0" fontId="36" numFmtId="0" xfId="0" applyAlignment="1" applyFont="1">
      <alignment horizontal="center" vertical="center"/>
    </xf>
    <xf borderId="28" fillId="11" fontId="19" numFmtId="0" xfId="0" applyAlignment="1" applyBorder="1" applyFont="1">
      <alignment horizontal="center" vertical="center"/>
    </xf>
    <xf borderId="29" fillId="11" fontId="19" numFmtId="10" xfId="0" applyAlignment="1" applyBorder="1" applyFont="1" applyNumberFormat="1">
      <alignment horizontal="center" vertical="center"/>
    </xf>
    <xf borderId="22" fillId="11" fontId="30" numFmtId="0" xfId="0" applyAlignment="1" applyBorder="1" applyFont="1">
      <alignment horizontal="right"/>
    </xf>
    <xf borderId="22" fillId="11" fontId="30" numFmtId="10" xfId="0" applyAlignment="1" applyBorder="1" applyFont="1" applyNumberFormat="1">
      <alignment horizontal="right" vertical="center"/>
    </xf>
    <xf borderId="22" fillId="11" fontId="30" numFmtId="166" xfId="0" applyAlignment="1" applyBorder="1" applyFont="1" applyNumberFormat="1">
      <alignment horizontal="right" vertical="center"/>
    </xf>
    <xf borderId="30" fillId="11" fontId="27" numFmtId="166" xfId="0" applyAlignment="1" applyBorder="1" applyFont="1" applyNumberFormat="1">
      <alignment horizontal="center" vertical="center"/>
    </xf>
    <xf borderId="31" fillId="0" fontId="6" numFmtId="0" xfId="0" applyBorder="1" applyFont="1"/>
    <xf borderId="32" fillId="0" fontId="6" numFmtId="0" xfId="0" applyBorder="1" applyFont="1"/>
    <xf borderId="11" fillId="11" fontId="30" numFmtId="0" xfId="0" applyAlignment="1" applyBorder="1" applyFont="1">
      <alignment horizontal="right"/>
    </xf>
    <xf borderId="11" fillId="11" fontId="30" numFmtId="10" xfId="0" applyAlignment="1" applyBorder="1" applyFont="1" applyNumberFormat="1">
      <alignment horizontal="right" vertical="center"/>
    </xf>
    <xf borderId="11" fillId="11" fontId="30" numFmtId="166" xfId="0" applyAlignment="1" applyBorder="1" applyFont="1" applyNumberFormat="1">
      <alignment horizontal="right" vertical="center"/>
    </xf>
    <xf borderId="33" fillId="0" fontId="6" numFmtId="0" xfId="0" applyBorder="1" applyFont="1"/>
    <xf borderId="11" fillId="11" fontId="40" numFmtId="166" xfId="0" applyBorder="1" applyFont="1" applyNumberFormat="1"/>
    <xf borderId="34" fillId="0" fontId="6" numFmtId="0" xfId="0" applyBorder="1" applyFont="1"/>
    <xf borderId="35" fillId="0" fontId="6" numFmtId="0" xfId="0" applyBorder="1" applyFont="1"/>
    <xf borderId="36" fillId="11" fontId="30" numFmtId="0" xfId="0" applyAlignment="1" applyBorder="1" applyFont="1">
      <alignment horizontal="right"/>
    </xf>
    <xf borderId="36" fillId="11" fontId="30" numFmtId="10" xfId="0" applyAlignment="1" applyBorder="1" applyFont="1" applyNumberFormat="1">
      <alignment horizontal="right" vertical="center"/>
    </xf>
    <xf borderId="36" fillId="11" fontId="40" numFmtId="166" xfId="0" applyBorder="1" applyFont="1" applyNumberFormat="1"/>
    <xf borderId="37" fillId="0" fontId="6" numFmtId="0" xfId="0" applyBorder="1" applyFont="1"/>
    <xf borderId="38" fillId="14" fontId="20" numFmtId="0" xfId="0" applyAlignment="1" applyBorder="1" applyFill="1" applyFont="1">
      <alignment horizontal="center" vertical="center"/>
    </xf>
    <xf borderId="39" fillId="14" fontId="20" numFmtId="10" xfId="0" applyAlignment="1" applyBorder="1" applyFont="1" applyNumberFormat="1">
      <alignment horizontal="center" vertical="center"/>
    </xf>
    <xf borderId="11" fillId="14" fontId="29" numFmtId="0" xfId="0" applyAlignment="1" applyBorder="1" applyFont="1">
      <alignment horizontal="right"/>
    </xf>
    <xf borderId="11" fillId="14" fontId="29" numFmtId="10" xfId="0" applyAlignment="1" applyBorder="1" applyFont="1" applyNumberFormat="1">
      <alignment horizontal="right" vertical="center"/>
    </xf>
    <xf borderId="11" fillId="14" fontId="29" numFmtId="166" xfId="0" applyAlignment="1" applyBorder="1" applyFont="1" applyNumberFormat="1">
      <alignment horizontal="right" vertical="center"/>
    </xf>
    <xf borderId="40" fillId="14" fontId="20" numFmtId="166" xfId="0" applyAlignment="1" applyBorder="1" applyFont="1" applyNumberFormat="1">
      <alignment horizontal="center" vertical="center"/>
    </xf>
    <xf borderId="0" fillId="0" fontId="36" numFmtId="9" xfId="0" applyAlignment="1" applyFont="1" applyNumberFormat="1">
      <alignment horizontal="center" vertical="center"/>
    </xf>
    <xf borderId="36" fillId="14" fontId="29" numFmtId="0" xfId="0" applyAlignment="1" applyBorder="1" applyFont="1">
      <alignment horizontal="right"/>
    </xf>
    <xf borderId="36" fillId="14" fontId="29" numFmtId="10" xfId="0" applyAlignment="1" applyBorder="1" applyFont="1" applyNumberFormat="1">
      <alignment horizontal="right" vertical="center"/>
    </xf>
    <xf borderId="36" fillId="14" fontId="29" numFmtId="166" xfId="0" applyAlignment="1" applyBorder="1" applyFont="1" applyNumberFormat="1">
      <alignment horizontal="right" vertical="center"/>
    </xf>
    <xf borderId="0" fillId="0" fontId="5" numFmtId="0" xfId="0" applyFont="1"/>
    <xf borderId="0" fillId="0" fontId="5" numFmtId="10" xfId="0" applyFont="1" applyNumberFormat="1"/>
    <xf borderId="0" fillId="0" fontId="19" numFmtId="0" xfId="0" applyAlignment="1" applyFont="1">
      <alignment horizontal="center" vertical="center"/>
    </xf>
    <xf borderId="0" fillId="0" fontId="19" numFmtId="9" xfId="0" applyAlignment="1" applyFont="1" applyNumberFormat="1">
      <alignment horizontal="right" vertical="center"/>
    </xf>
    <xf borderId="0" fillId="0" fontId="19" numFmtId="0" xfId="0" applyAlignment="1" applyFont="1">
      <alignment horizontal="right" vertical="center"/>
    </xf>
    <xf borderId="0" fillId="0" fontId="5" numFmtId="166" xfId="0" applyFont="1" applyNumberFormat="1"/>
    <xf borderId="0" fillId="0" fontId="14" numFmtId="0" xfId="0" applyAlignment="1" applyFont="1">
      <alignment horizontal="center" vertic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FEF2CB"/>
          <bgColor rgb="FFFEF2CB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6">
    <tableStyle count="3" pivot="0" name="REMUNERACIONES-style">
      <tableStyleElement dxfId="1" type="headerRow"/>
      <tableStyleElement dxfId="2" type="firstRowStripe"/>
      <tableStyleElement dxfId="3" type="secondRowStripe"/>
    </tableStyle>
    <tableStyle count="3" pivot="0" name="SOFTWARE Y FUNGIBLES-style">
      <tableStyleElement dxfId="4" type="headerRow"/>
      <tableStyleElement dxfId="5" type="firstRowStripe"/>
      <tableStyleElement dxfId="3" type="secondRowStripe"/>
    </tableStyle>
    <tableStyle count="3" pivot="0" name="SOFTWARE Y FUNGIBLES-style 2">
      <tableStyleElement dxfId="4" type="headerRow"/>
      <tableStyleElement dxfId="5" type="firstRowStripe"/>
      <tableStyleElement dxfId="3" type="secondRowStripe"/>
    </tableStyle>
    <tableStyle count="4" pivot="0" name="OTROS-style">
      <tableStyleElement dxfId="6" type="headerRow"/>
      <tableStyleElement dxfId="7" type="firstRowStripe"/>
      <tableStyleElement dxfId="3" type="secondRowStripe"/>
      <tableStyleElement dxfId="3" type="totalRow"/>
    </tableStyle>
    <tableStyle count="4" pivot="0" name="OTROS-style 2">
      <tableStyleElement dxfId="6" type="headerRow"/>
      <tableStyleElement dxfId="7" type="firstRowStripe"/>
      <tableStyleElement dxfId="3" type="secondRowStripe"/>
      <tableStyleElement dxfId="3" type="totalRow"/>
    </tableStyle>
    <tableStyle count="4" pivot="0" name="OTROS-style 3">
      <tableStyleElement dxfId="6" type="headerRow"/>
      <tableStyleElement dxfId="7" type="firstRowStripe"/>
      <tableStyleElement dxfId="3" type="secondRowStripe"/>
      <tableStyleElement dxfId="3" type="totalRow"/>
    </tableStyle>
  </tableStyles>
</styleSheet>
</file>

<file path=xl/_rels/workbook.xml.rels><?xml version="1.0" encoding="UTF-8" standalone="yes"?><Relationships xmlns="http://schemas.openxmlformats.org/package/2006/relationships"><Relationship Id="rId10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G15" displayName="Table_1" name="Table_1" id="1">
  <tableColumns count="7">
    <tableColumn name="ITEM" id="1"/>
    <tableColumn name="HONORARIOS" id="2"/>
    <tableColumn name="SUELDO MENSUAL_x000a_$ / MES" id="3"/>
    <tableColumn name="SUBTOTAL" id="4"/>
    <tableColumn name="DEDICACION AL PROYECTO % JORNADA" id="5"/>
    <tableColumn name="# MESES A CONTRATAR" id="6"/>
    <tableColumn name="TOTAL PROYECTO $" id="7"/>
  </tableColumns>
  <tableStyleInfo name="REMUNERACIONES-style" showColumnStripes="0" showFirstColumn="1" showLastColumn="1" showRowStripes="1"/>
</table>
</file>

<file path=xl/tables/table2.xml><?xml version="1.0" encoding="utf-8"?>
<table xmlns="http://schemas.openxmlformats.org/spreadsheetml/2006/main" ref="A2:E7" displayName="Table_2" name="Table_2" id="2">
  <tableColumns count="5">
    <tableColumn name="DESCRIPCIÓN" id="1"/>
    <tableColumn name="COSTO UNITARIO_x000a_$ / UNIDAD" id="2"/>
    <tableColumn name="CANTIDAD" id="3"/>
    <tableColumn name="# MESES" id="4"/>
    <tableColumn name="COSTO TOTAL M$" id="5"/>
  </tableColumns>
  <tableStyleInfo name="SOFTWARE Y FUNGIBLES-style" showColumnStripes="0" showFirstColumn="1" showLastColumn="1" showRowStripes="1"/>
</table>
</file>

<file path=xl/tables/table3.xml><?xml version="1.0" encoding="utf-8"?>
<table xmlns="http://schemas.openxmlformats.org/spreadsheetml/2006/main" ref="A11:D14" displayName="Table_3" name="Table_3" id="3">
  <tableColumns count="4">
    <tableColumn name="DESCRIPCIÓN" id="1"/>
    <tableColumn name="COSTO UNITARIO_x000a_M$ / UNIDAD" id="2"/>
    <tableColumn name="CANTIDAD" id="3"/>
    <tableColumn name="COSTO TOTAL M$" id="4"/>
  </tableColumns>
  <tableStyleInfo name="SOFTWARE Y FUNGIBLES-style 2" showColumnStripes="0" showFirstColumn="1" showLastColumn="1" showRowStripes="1"/>
</table>
</file>

<file path=xl/tables/table4.xml><?xml version="1.0" encoding="utf-8"?>
<table xmlns="http://schemas.openxmlformats.org/spreadsheetml/2006/main" totalsRowCount="1" ref="A3:D7" displayName="Table_4" name="Table_4" id="4">
  <tableColumns count="4">
    <tableColumn totalsRowLabel="Total" name="DESCRIPCIÓN" id="1"/>
    <tableColumn name="COSTO UNITARIO_x000a_$ / UNIDAD" id="2"/>
    <tableColumn name="CANTIDAD" id="3"/>
    <tableColumn totalsRowFunction="custom" name="COSTO TOTAL _x000a_$" id="4"/>
  </tableColumns>
  <tableStyleInfo name="OTROS-style" showColumnStripes="0" showFirstColumn="1" showLastColumn="1" showRowStripes="1"/>
</table>
</file>

<file path=xl/tables/table5.xml><?xml version="1.0" encoding="utf-8"?>
<table xmlns="http://schemas.openxmlformats.org/spreadsheetml/2006/main" totalsRowCount="1" ref="A12:C24" displayName="Table_5" name="Table_5" id="5">
  <tableColumns count="3">
    <tableColumn totalsRowLabel="Total" name="DESCRIPCIÓN" id="1"/>
    <tableColumn name="%" id="2"/>
    <tableColumn totalsRowFunction="custom" name="MONTO_x000a_ M$" id="3"/>
  </tableColumns>
  <tableStyleInfo name="OTROS-style 2" showColumnStripes="0" showFirstColumn="1" showLastColumn="1" showRowStripes="1"/>
</table>
</file>

<file path=xl/tables/table6.xml><?xml version="1.0" encoding="utf-8"?>
<table xmlns="http://schemas.openxmlformats.org/spreadsheetml/2006/main" totalsRowCount="1" ref="A29:C31" displayName="Table_6" name="Table_6" id="6">
  <tableColumns count="3">
    <tableColumn totalsRowLabel="TOTAL" name="DESCRIPCION" id="1"/>
    <tableColumn name="%" id="2"/>
    <tableColumn totalsRowFunction="custom" name="MONTO_x000a_M$" id="3"/>
  </tableColumns>
  <tableStyleInfo name="OTROS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supabase.com/pricing" TargetMode="External"/><Relationship Id="rId10" Type="http://schemas.openxmlformats.org/officeDocument/2006/relationships/hyperlink" Target="https://firebase.google.com/pricing" TargetMode="External"/><Relationship Id="rId13" Type="http://schemas.openxmlformats.org/officeDocument/2006/relationships/hyperlink" Target="https://clerk.com/pricing" TargetMode="External"/><Relationship Id="rId12" Type="http://schemas.openxmlformats.org/officeDocument/2006/relationships/hyperlink" Target="https://auth0.com/pricing" TargetMode="External"/><Relationship Id="rId1" Type="http://schemas.openxmlformats.org/officeDocument/2006/relationships/hyperlink" Target="https://stripe.com/es-us/pricing" TargetMode="External"/><Relationship Id="rId2" Type="http://schemas.openxmlformats.org/officeDocument/2006/relationships/hyperlink" Target="https://www.mercadopago.cl/costs-section/introduction" TargetMode="External"/><Relationship Id="rId3" Type="http://schemas.openxmlformats.org/officeDocument/2006/relationships/hyperlink" Target="https://www.transbank.cl/soluciones-para-tu-negocio/webpay" TargetMode="External"/><Relationship Id="rId4" Type="http://schemas.openxmlformats.org/officeDocument/2006/relationships/hyperlink" Target="https://www.sqlite.org" TargetMode="External"/><Relationship Id="rId9" Type="http://schemas.openxmlformats.org/officeDocument/2006/relationships/hyperlink" Target="https://aws.amazon.com/es/rds/pricing" TargetMode="External"/><Relationship Id="rId15" Type="http://schemas.openxmlformats.org/officeDocument/2006/relationships/hyperlink" Target="https://www.keycloak.org" TargetMode="External"/><Relationship Id="rId14" Type="http://schemas.openxmlformats.org/officeDocument/2006/relationships/hyperlink" Target="https://docs.allauth.org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postgresql.org" TargetMode="External"/><Relationship Id="rId6" Type="http://schemas.openxmlformats.org/officeDocument/2006/relationships/hyperlink" Target="https://supabase.com/pricing" TargetMode="External"/><Relationship Id="rId7" Type="http://schemas.openxmlformats.org/officeDocument/2006/relationships/hyperlink" Target="https://railway.app/pricing" TargetMode="External"/><Relationship Id="rId8" Type="http://schemas.openxmlformats.org/officeDocument/2006/relationships/hyperlink" Target="https://render.com/pric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.63"/>
    <col customWidth="1" min="2" max="2" width="16.25"/>
    <col customWidth="1" min="3" max="3" width="14.38"/>
    <col customWidth="1" min="4" max="4" width="23.13"/>
    <col customWidth="1" min="5" max="5" width="11.63"/>
    <col customWidth="1" min="6" max="6" width="22.38"/>
    <col customWidth="1" min="7" max="14" width="9.0"/>
    <col customWidth="1" min="15" max="15" width="2.38"/>
    <col customWidth="1" min="16" max="16" width="14.5"/>
    <col customWidth="1" min="17" max="17" width="19.13"/>
    <col customWidth="1" min="18" max="29" width="14.5"/>
  </cols>
  <sheetData>
    <row r="1" ht="12.75" customHeight="1">
      <c r="C1" s="1"/>
      <c r="D1" s="1"/>
      <c r="E1" s="1"/>
      <c r="F1" s="1"/>
      <c r="G1" s="2"/>
      <c r="H1" s="2"/>
      <c r="P1" s="3"/>
      <c r="R1" s="4"/>
      <c r="S1" s="4"/>
      <c r="T1" s="4"/>
    </row>
    <row r="2">
      <c r="A2" s="5"/>
      <c r="B2" s="6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8" t="s">
        <v>5</v>
      </c>
      <c r="H2" s="9"/>
      <c r="I2" s="9"/>
      <c r="J2" s="9"/>
      <c r="K2" s="9"/>
      <c r="L2" s="9"/>
      <c r="M2" s="9"/>
      <c r="N2" s="10"/>
      <c r="O2" s="11"/>
      <c r="P2" s="12" t="s">
        <v>6</v>
      </c>
      <c r="Q2" s="6" t="s">
        <v>7</v>
      </c>
      <c r="R2" s="13" t="s">
        <v>8</v>
      </c>
      <c r="S2" s="9"/>
      <c r="T2" s="10"/>
    </row>
    <row r="3">
      <c r="A3" s="14"/>
      <c r="B3" s="15" t="s">
        <v>9</v>
      </c>
      <c r="C3" s="16" t="s">
        <v>10</v>
      </c>
      <c r="D3" s="17" t="s">
        <v>11</v>
      </c>
      <c r="E3" s="18" t="b">
        <v>0</v>
      </c>
      <c r="F3" s="19" t="s">
        <v>12</v>
      </c>
      <c r="G3" s="20" t="s">
        <v>13</v>
      </c>
      <c r="H3" s="9"/>
      <c r="I3" s="9"/>
      <c r="J3" s="9"/>
      <c r="K3" s="9"/>
      <c r="L3" s="9"/>
      <c r="M3" s="9"/>
      <c r="N3" s="10"/>
      <c r="O3" s="11"/>
      <c r="P3" s="21">
        <v>1.0</v>
      </c>
      <c r="Q3" s="22"/>
      <c r="R3" s="23">
        <v>1904193.0</v>
      </c>
      <c r="S3" s="9"/>
      <c r="T3" s="10"/>
    </row>
    <row r="4">
      <c r="A4" s="14"/>
      <c r="B4" s="24"/>
      <c r="C4" s="16" t="s">
        <v>14</v>
      </c>
      <c r="D4" s="17" t="s">
        <v>15</v>
      </c>
      <c r="E4" s="18" t="b">
        <v>0</v>
      </c>
      <c r="F4" s="19" t="s">
        <v>16</v>
      </c>
      <c r="G4" s="25" t="s">
        <v>17</v>
      </c>
      <c r="H4" s="26"/>
      <c r="I4" s="26"/>
      <c r="J4" s="26"/>
      <c r="K4" s="26"/>
      <c r="L4" s="26"/>
      <c r="M4" s="26"/>
      <c r="N4" s="27"/>
      <c r="O4" s="11"/>
      <c r="P4" s="21">
        <v>2.0</v>
      </c>
      <c r="Q4" s="22"/>
      <c r="R4" s="28" t="s">
        <v>18</v>
      </c>
      <c r="S4" s="9"/>
      <c r="T4" s="10"/>
    </row>
    <row r="5">
      <c r="A5" s="14"/>
      <c r="B5" s="24"/>
      <c r="C5" s="16" t="s">
        <v>19</v>
      </c>
      <c r="D5" s="17" t="s">
        <v>20</v>
      </c>
      <c r="E5" s="18" t="b">
        <v>0</v>
      </c>
      <c r="F5" s="19" t="s">
        <v>21</v>
      </c>
      <c r="G5" s="25" t="s">
        <v>22</v>
      </c>
      <c r="H5" s="26"/>
      <c r="I5" s="26"/>
      <c r="J5" s="26"/>
      <c r="K5" s="26"/>
      <c r="L5" s="26"/>
      <c r="M5" s="26"/>
      <c r="N5" s="27"/>
      <c r="O5" s="11"/>
      <c r="P5" s="21">
        <v>3.0</v>
      </c>
      <c r="Q5" s="22"/>
      <c r="R5" s="23" t="s">
        <v>23</v>
      </c>
      <c r="S5" s="9"/>
      <c r="T5" s="10"/>
    </row>
    <row r="6">
      <c r="A6" s="14"/>
      <c r="B6" s="24"/>
      <c r="C6" s="29"/>
      <c r="D6" s="29"/>
      <c r="E6" s="18" t="b">
        <v>0</v>
      </c>
      <c r="F6" s="29"/>
      <c r="G6" s="30"/>
      <c r="H6" s="9"/>
      <c r="I6" s="9"/>
      <c r="J6" s="9"/>
      <c r="K6" s="9"/>
      <c r="L6" s="9"/>
      <c r="M6" s="9"/>
      <c r="N6" s="10"/>
      <c r="O6" s="11"/>
      <c r="P6" s="21">
        <v>4.0</v>
      </c>
      <c r="Q6" s="22"/>
      <c r="R6" s="23" t="s">
        <v>24</v>
      </c>
      <c r="S6" s="9"/>
      <c r="T6" s="10"/>
    </row>
    <row r="7">
      <c r="A7" s="14"/>
      <c r="B7" s="24"/>
      <c r="C7" s="29"/>
      <c r="D7" s="29"/>
      <c r="E7" s="18" t="b">
        <v>0</v>
      </c>
      <c r="F7" s="29"/>
      <c r="G7" s="31"/>
      <c r="H7" s="9"/>
      <c r="I7" s="9"/>
      <c r="J7" s="9"/>
      <c r="K7" s="9"/>
      <c r="L7" s="9"/>
      <c r="M7" s="9"/>
      <c r="N7" s="10"/>
      <c r="O7" s="11"/>
      <c r="P7" s="21">
        <v>5.0</v>
      </c>
      <c r="Q7" s="22"/>
      <c r="R7" s="23">
        <v>5500000.0</v>
      </c>
      <c r="S7" s="9"/>
      <c r="T7" s="10"/>
    </row>
    <row r="8">
      <c r="A8" s="14"/>
      <c r="B8" s="24"/>
      <c r="C8" s="29"/>
      <c r="D8" s="29"/>
      <c r="E8" s="18" t="b">
        <v>0</v>
      </c>
      <c r="F8" s="29"/>
      <c r="G8" s="31"/>
      <c r="H8" s="9"/>
      <c r="I8" s="9"/>
      <c r="J8" s="9"/>
      <c r="K8" s="9"/>
      <c r="L8" s="9"/>
      <c r="M8" s="9"/>
      <c r="N8" s="10"/>
      <c r="O8" s="11"/>
      <c r="P8" s="21">
        <v>6.0</v>
      </c>
      <c r="Q8" s="22"/>
      <c r="R8" s="23">
        <v>6113916.0</v>
      </c>
      <c r="S8" s="9"/>
      <c r="T8" s="10"/>
    </row>
    <row r="9">
      <c r="A9" s="14"/>
      <c r="B9" s="24"/>
      <c r="C9" s="29"/>
      <c r="D9" s="29"/>
      <c r="E9" s="18" t="b">
        <v>0</v>
      </c>
      <c r="F9" s="29"/>
      <c r="G9" s="31"/>
      <c r="H9" s="9"/>
      <c r="I9" s="9"/>
      <c r="J9" s="9"/>
      <c r="K9" s="9"/>
      <c r="L9" s="9"/>
      <c r="M9" s="9"/>
      <c r="N9" s="10"/>
      <c r="O9" s="11"/>
      <c r="R9" s="32"/>
      <c r="S9" s="32"/>
      <c r="T9" s="32"/>
    </row>
    <row r="10">
      <c r="A10" s="14"/>
      <c r="B10" s="24"/>
      <c r="C10" s="29"/>
      <c r="D10" s="29"/>
      <c r="E10" s="18" t="b">
        <v>0</v>
      </c>
      <c r="F10" s="29"/>
      <c r="G10" s="31"/>
      <c r="H10" s="9"/>
      <c r="I10" s="9"/>
      <c r="J10" s="9"/>
      <c r="K10" s="9"/>
      <c r="L10" s="9"/>
      <c r="M10" s="9"/>
      <c r="N10" s="10"/>
      <c r="O10" s="11"/>
      <c r="R10" s="32"/>
      <c r="S10" s="32"/>
      <c r="T10" s="32"/>
    </row>
    <row r="11">
      <c r="A11" s="14"/>
      <c r="B11" s="24"/>
      <c r="C11" s="29"/>
      <c r="D11" s="29"/>
      <c r="E11" s="18" t="b">
        <v>0</v>
      </c>
      <c r="F11" s="29"/>
      <c r="G11" s="31"/>
      <c r="H11" s="9"/>
      <c r="I11" s="9"/>
      <c r="J11" s="9"/>
      <c r="K11" s="9"/>
      <c r="L11" s="9"/>
      <c r="M11" s="9"/>
      <c r="N11" s="10"/>
      <c r="O11" s="11"/>
      <c r="P11" s="12" t="s">
        <v>25</v>
      </c>
      <c r="Q11" s="33">
        <v>4600000.0</v>
      </c>
      <c r="R11" s="32"/>
      <c r="S11" s="32"/>
      <c r="T11" s="32"/>
    </row>
    <row r="12">
      <c r="B12" s="24"/>
      <c r="C12" s="29"/>
      <c r="D12" s="29"/>
      <c r="E12" s="18" t="b">
        <v>0</v>
      </c>
      <c r="F12" s="29"/>
      <c r="G12" s="34"/>
      <c r="H12" s="9"/>
      <c r="I12" s="9"/>
      <c r="J12" s="9"/>
      <c r="K12" s="9"/>
      <c r="L12" s="9"/>
      <c r="M12" s="9"/>
      <c r="N12" s="10"/>
      <c r="O12" s="11"/>
      <c r="P12" s="12" t="s">
        <v>26</v>
      </c>
      <c r="Q12" s="33" t="str">
        <f>(F13+F5+(Q11*4))/6</f>
        <v>#VALUE!</v>
      </c>
      <c r="R12" s="32"/>
      <c r="T12" s="32"/>
    </row>
    <row r="13">
      <c r="A13" s="35"/>
      <c r="B13" s="24"/>
      <c r="C13" s="29"/>
      <c r="D13" s="29"/>
      <c r="E13" s="18" t="b">
        <v>0</v>
      </c>
      <c r="F13" s="29"/>
      <c r="G13" s="36"/>
      <c r="H13" s="9"/>
      <c r="I13" s="9"/>
      <c r="J13" s="9"/>
      <c r="K13" s="9"/>
      <c r="L13" s="9"/>
      <c r="M13" s="9"/>
      <c r="N13" s="10"/>
      <c r="O13" s="11"/>
      <c r="P13" s="37"/>
      <c r="Q13" s="11"/>
      <c r="R13" s="32"/>
      <c r="S13" s="32"/>
      <c r="T13" s="32"/>
    </row>
    <row r="14">
      <c r="B14" s="38"/>
      <c r="C14" s="29"/>
      <c r="D14" s="29"/>
      <c r="E14" s="18" t="b">
        <v>0</v>
      </c>
      <c r="F14" s="29"/>
      <c r="G14" s="36"/>
      <c r="H14" s="9"/>
      <c r="I14" s="9"/>
      <c r="J14" s="9"/>
      <c r="K14" s="9"/>
      <c r="L14" s="9"/>
      <c r="M14" s="9"/>
      <c r="N14" s="10"/>
      <c r="O14" s="11"/>
      <c r="P14" s="37"/>
      <c r="Q14" s="11"/>
      <c r="R14" s="32"/>
      <c r="S14" s="32"/>
      <c r="T14" s="32"/>
    </row>
    <row r="15">
      <c r="B15" s="11"/>
      <c r="C15" s="11"/>
      <c r="D15" s="11"/>
      <c r="E15" s="11"/>
      <c r="F15" s="11"/>
      <c r="G15" s="39"/>
      <c r="H15" s="39"/>
      <c r="I15" s="39"/>
      <c r="J15" s="39"/>
      <c r="K15" s="39"/>
      <c r="L15" s="39"/>
      <c r="M15" s="39"/>
      <c r="N15" s="39"/>
      <c r="O15" s="11"/>
      <c r="P15" s="37"/>
      <c r="Q15" s="11"/>
      <c r="R15" s="32"/>
      <c r="S15" s="32"/>
      <c r="T15" s="32"/>
    </row>
    <row r="16">
      <c r="B16" s="11"/>
      <c r="C16" s="11"/>
      <c r="D16" s="11"/>
      <c r="E16" s="11"/>
      <c r="F16" s="11"/>
      <c r="G16" s="39"/>
      <c r="H16" s="39"/>
      <c r="I16" s="39"/>
      <c r="J16" s="39"/>
      <c r="K16" s="39"/>
      <c r="L16" s="39"/>
      <c r="M16" s="39"/>
      <c r="N16" s="39"/>
      <c r="O16" s="11"/>
      <c r="P16" s="37"/>
      <c r="Q16" s="11"/>
      <c r="R16" s="32"/>
      <c r="S16" s="32"/>
      <c r="T16" s="32"/>
    </row>
    <row r="17">
      <c r="B17" s="40" t="s">
        <v>0</v>
      </c>
      <c r="C17" s="7" t="s">
        <v>1</v>
      </c>
      <c r="D17" s="7" t="s">
        <v>2</v>
      </c>
      <c r="E17" s="7" t="s">
        <v>27</v>
      </c>
      <c r="F17" s="7" t="s">
        <v>4</v>
      </c>
      <c r="G17" s="41" t="s">
        <v>5</v>
      </c>
      <c r="H17" s="9"/>
      <c r="I17" s="9"/>
      <c r="J17" s="9"/>
      <c r="K17" s="9"/>
      <c r="L17" s="9"/>
      <c r="M17" s="9"/>
      <c r="N17" s="10"/>
      <c r="O17" s="11"/>
      <c r="P17" s="12" t="s">
        <v>6</v>
      </c>
      <c r="Q17" s="6" t="s">
        <v>7</v>
      </c>
      <c r="R17" s="13" t="s">
        <v>8</v>
      </c>
      <c r="S17" s="9"/>
      <c r="T17" s="10"/>
    </row>
    <row r="18">
      <c r="B18" s="42" t="s">
        <v>28</v>
      </c>
      <c r="C18" s="16" t="s">
        <v>29</v>
      </c>
      <c r="D18" s="17" t="s">
        <v>30</v>
      </c>
      <c r="E18" s="43" t="b">
        <v>1</v>
      </c>
      <c r="F18" s="17" t="s">
        <v>31</v>
      </c>
      <c r="G18" s="25" t="s">
        <v>32</v>
      </c>
      <c r="H18" s="44"/>
      <c r="I18" s="44"/>
      <c r="J18" s="44"/>
      <c r="K18" s="44"/>
      <c r="L18" s="44"/>
      <c r="M18" s="44"/>
      <c r="N18" s="45"/>
      <c r="O18" s="11"/>
      <c r="P18" s="21">
        <v>1.0</v>
      </c>
      <c r="Q18" s="22" t="s">
        <v>33</v>
      </c>
      <c r="R18" s="28" t="s">
        <v>34</v>
      </c>
      <c r="S18" s="9"/>
      <c r="T18" s="10"/>
    </row>
    <row r="19">
      <c r="B19" s="46"/>
      <c r="C19" s="16" t="s">
        <v>35</v>
      </c>
      <c r="D19" s="17" t="s">
        <v>36</v>
      </c>
      <c r="E19" s="43" t="b">
        <v>1</v>
      </c>
      <c r="F19" s="17" t="s">
        <v>31</v>
      </c>
      <c r="G19" s="25" t="s">
        <v>37</v>
      </c>
      <c r="H19" s="44"/>
      <c r="I19" s="44"/>
      <c r="J19" s="44"/>
      <c r="K19" s="44"/>
      <c r="L19" s="44"/>
      <c r="M19" s="44"/>
      <c r="N19" s="45"/>
      <c r="O19" s="11"/>
      <c r="P19" s="21">
        <v>2.0</v>
      </c>
      <c r="Q19" s="22" t="s">
        <v>38</v>
      </c>
      <c r="R19" s="28" t="s">
        <v>39</v>
      </c>
      <c r="S19" s="9"/>
      <c r="T19" s="10"/>
    </row>
    <row r="20">
      <c r="B20" s="46"/>
      <c r="C20" s="16" t="s">
        <v>40</v>
      </c>
      <c r="D20" s="17" t="s">
        <v>41</v>
      </c>
      <c r="E20" s="43" t="b">
        <v>1</v>
      </c>
      <c r="F20" s="17" t="s">
        <v>42</v>
      </c>
      <c r="G20" s="25" t="s">
        <v>43</v>
      </c>
      <c r="H20" s="44"/>
      <c r="I20" s="44"/>
      <c r="J20" s="44"/>
      <c r="K20" s="44"/>
      <c r="L20" s="44"/>
      <c r="M20" s="44"/>
      <c r="N20" s="45"/>
      <c r="O20" s="11"/>
      <c r="P20" s="21">
        <v>3.0</v>
      </c>
      <c r="Q20" s="22" t="s">
        <v>44</v>
      </c>
      <c r="R20" s="23" t="s">
        <v>45</v>
      </c>
      <c r="S20" s="9"/>
      <c r="T20" s="10"/>
    </row>
    <row r="21">
      <c r="B21" s="46"/>
      <c r="C21" s="16" t="s">
        <v>46</v>
      </c>
      <c r="D21" s="17" t="s">
        <v>47</v>
      </c>
      <c r="E21" s="18" t="b">
        <v>0</v>
      </c>
      <c r="F21" s="17" t="s">
        <v>48</v>
      </c>
      <c r="G21" s="47" t="s">
        <v>49</v>
      </c>
      <c r="H21" s="48"/>
      <c r="I21" s="48"/>
      <c r="J21" s="48"/>
      <c r="K21" s="48"/>
      <c r="L21" s="48"/>
      <c r="M21" s="48"/>
      <c r="N21" s="49"/>
      <c r="O21" s="11"/>
      <c r="P21" s="21">
        <v>4.0</v>
      </c>
      <c r="Q21" s="22" t="s">
        <v>50</v>
      </c>
      <c r="R21" s="23" t="s">
        <v>51</v>
      </c>
      <c r="S21" s="9"/>
      <c r="T21" s="10"/>
    </row>
    <row r="22">
      <c r="B22" s="46"/>
      <c r="C22" s="16" t="s">
        <v>52</v>
      </c>
      <c r="D22" s="17" t="s">
        <v>53</v>
      </c>
      <c r="E22" s="18" t="b">
        <v>0</v>
      </c>
      <c r="F22" s="17" t="s">
        <v>54</v>
      </c>
      <c r="G22" s="25" t="s">
        <v>55</v>
      </c>
      <c r="H22" s="44"/>
      <c r="I22" s="44"/>
      <c r="J22" s="44"/>
      <c r="K22" s="44"/>
      <c r="L22" s="44"/>
      <c r="M22" s="44"/>
      <c r="N22" s="45"/>
      <c r="O22" s="11"/>
      <c r="P22" s="21">
        <v>5.0</v>
      </c>
      <c r="Q22" s="22" t="s">
        <v>56</v>
      </c>
      <c r="R22" s="23">
        <v>3690000.0</v>
      </c>
      <c r="S22" s="9"/>
      <c r="T22" s="10"/>
    </row>
    <row r="23">
      <c r="B23" s="46"/>
      <c r="C23" s="16" t="s">
        <v>57</v>
      </c>
      <c r="D23" s="17" t="s">
        <v>58</v>
      </c>
      <c r="E23" s="43" t="b">
        <v>0</v>
      </c>
      <c r="F23" s="17" t="s">
        <v>59</v>
      </c>
      <c r="G23" s="25" t="s">
        <v>60</v>
      </c>
      <c r="H23" s="44"/>
      <c r="I23" s="44"/>
      <c r="J23" s="44"/>
      <c r="K23" s="44"/>
      <c r="L23" s="44"/>
      <c r="M23" s="44"/>
      <c r="N23" s="45"/>
      <c r="O23" s="11"/>
      <c r="P23" s="37"/>
      <c r="Q23" s="11"/>
      <c r="R23" s="32"/>
      <c r="S23" s="32"/>
      <c r="T23" s="32"/>
    </row>
    <row r="24">
      <c r="B24" s="46"/>
      <c r="C24" s="29"/>
      <c r="D24" s="29"/>
      <c r="E24" s="18" t="b">
        <v>0</v>
      </c>
      <c r="F24" s="29"/>
      <c r="G24" s="36"/>
      <c r="H24" s="9"/>
      <c r="I24" s="9"/>
      <c r="J24" s="9"/>
      <c r="K24" s="9"/>
      <c r="L24" s="9"/>
      <c r="M24" s="9"/>
      <c r="N24" s="10"/>
      <c r="O24" s="11"/>
      <c r="P24" s="12" t="s">
        <v>25</v>
      </c>
      <c r="Q24" s="33">
        <f>(T24+S24)/2</f>
        <v>2206459</v>
      </c>
      <c r="R24" s="32"/>
      <c r="S24" s="50">
        <v>2012918.0</v>
      </c>
      <c r="T24" s="50">
        <v>2400000.0</v>
      </c>
    </row>
    <row r="25">
      <c r="B25" s="46"/>
      <c r="C25" s="29"/>
      <c r="D25" s="29"/>
      <c r="E25" s="18" t="b">
        <v>0</v>
      </c>
      <c r="F25" s="29"/>
      <c r="G25" s="36"/>
      <c r="H25" s="9"/>
      <c r="I25" s="9"/>
      <c r="J25" s="9"/>
      <c r="K25" s="9"/>
      <c r="L25" s="9"/>
      <c r="M25" s="9"/>
      <c r="N25" s="10"/>
      <c r="O25" s="11"/>
      <c r="P25" s="12" t="s">
        <v>26</v>
      </c>
      <c r="Q25" s="33" t="str">
        <f>(F19+F25+(Q24*4))/6</f>
        <v>#VALUE!</v>
      </c>
      <c r="R25" s="32"/>
      <c r="S25" s="32"/>
      <c r="T25" s="32"/>
    </row>
    <row r="26">
      <c r="B26" s="46"/>
      <c r="C26" s="29"/>
      <c r="D26" s="29"/>
      <c r="E26" s="18" t="b">
        <v>0</v>
      </c>
      <c r="F26" s="29"/>
      <c r="G26" s="36"/>
      <c r="H26" s="9"/>
      <c r="I26" s="9"/>
      <c r="J26" s="9"/>
      <c r="K26" s="9"/>
      <c r="L26" s="9"/>
      <c r="M26" s="9"/>
      <c r="N26" s="10"/>
      <c r="O26" s="11"/>
      <c r="P26" s="37"/>
      <c r="Q26" s="11"/>
      <c r="R26" s="32"/>
      <c r="S26" s="32"/>
      <c r="T26" s="32"/>
    </row>
    <row r="27">
      <c r="B27" s="46"/>
      <c r="C27" s="29"/>
      <c r="D27" s="29"/>
      <c r="E27" s="18" t="b">
        <v>0</v>
      </c>
      <c r="F27" s="29"/>
      <c r="G27" s="36"/>
      <c r="H27" s="9"/>
      <c r="I27" s="9"/>
      <c r="J27" s="9"/>
      <c r="K27" s="9"/>
      <c r="L27" s="9"/>
      <c r="M27" s="9"/>
      <c r="N27" s="10"/>
      <c r="O27" s="11"/>
      <c r="P27" s="37"/>
      <c r="Q27" s="11"/>
      <c r="R27" s="32"/>
      <c r="S27" s="32"/>
      <c r="T27" s="32"/>
    </row>
    <row r="28">
      <c r="B28" s="46"/>
      <c r="C28" s="29"/>
      <c r="D28" s="29"/>
      <c r="E28" s="18" t="b">
        <v>0</v>
      </c>
      <c r="F28" s="29"/>
      <c r="G28" s="36"/>
      <c r="H28" s="9"/>
      <c r="I28" s="9"/>
      <c r="J28" s="9"/>
      <c r="K28" s="9"/>
      <c r="L28" s="9"/>
      <c r="M28" s="9"/>
      <c r="N28" s="10"/>
      <c r="O28" s="11"/>
      <c r="P28" s="37"/>
      <c r="Q28" s="11"/>
      <c r="R28" s="32"/>
      <c r="S28" s="32"/>
      <c r="T28" s="32"/>
    </row>
    <row r="29">
      <c r="B29" s="51"/>
      <c r="C29" s="29"/>
      <c r="D29" s="29"/>
      <c r="E29" s="18" t="b">
        <v>0</v>
      </c>
      <c r="F29" s="29"/>
      <c r="G29" s="36"/>
      <c r="H29" s="9"/>
      <c r="I29" s="9"/>
      <c r="J29" s="9"/>
      <c r="K29" s="9"/>
      <c r="L29" s="9"/>
      <c r="M29" s="9"/>
      <c r="N29" s="10"/>
      <c r="O29" s="11"/>
      <c r="P29" s="37"/>
      <c r="Q29" s="11"/>
      <c r="R29" s="32"/>
      <c r="S29" s="32"/>
      <c r="T29" s="32"/>
    </row>
    <row r="30" ht="12.75" customHeight="1">
      <c r="C30" s="1"/>
      <c r="D30" s="1"/>
      <c r="E30" s="1"/>
      <c r="F30" s="1"/>
      <c r="G30" s="52"/>
      <c r="H30" s="52"/>
      <c r="I30" s="53"/>
      <c r="J30" s="53"/>
      <c r="K30" s="53"/>
      <c r="L30" s="53"/>
      <c r="M30" s="53"/>
      <c r="N30" s="53"/>
      <c r="P30" s="3"/>
      <c r="R30" s="4"/>
      <c r="S30" s="4"/>
      <c r="T30" s="4"/>
    </row>
    <row r="31" ht="12.75" customHeight="1">
      <c r="C31" s="1"/>
      <c r="D31" s="1"/>
      <c r="E31" s="1"/>
      <c r="F31" s="1"/>
      <c r="G31" s="52"/>
      <c r="H31" s="52"/>
      <c r="I31" s="53"/>
      <c r="J31" s="53"/>
      <c r="K31" s="53"/>
      <c r="L31" s="53"/>
      <c r="M31" s="53"/>
      <c r="N31" s="53"/>
      <c r="P31" s="3"/>
      <c r="R31" s="4"/>
      <c r="S31" s="4"/>
      <c r="T31" s="4"/>
    </row>
    <row r="32" ht="12.75" customHeight="1">
      <c r="B32" s="40" t="s">
        <v>0</v>
      </c>
      <c r="C32" s="7" t="s">
        <v>1</v>
      </c>
      <c r="D32" s="7" t="s">
        <v>2</v>
      </c>
      <c r="E32" s="7" t="s">
        <v>27</v>
      </c>
      <c r="F32" s="7" t="s">
        <v>4</v>
      </c>
      <c r="G32" s="41" t="s">
        <v>5</v>
      </c>
      <c r="H32" s="9"/>
      <c r="I32" s="9"/>
      <c r="J32" s="9"/>
      <c r="K32" s="9"/>
      <c r="L32" s="9"/>
      <c r="M32" s="9"/>
      <c r="N32" s="10"/>
      <c r="O32" s="11"/>
      <c r="P32" s="12" t="s">
        <v>6</v>
      </c>
      <c r="Q32" s="6" t="s">
        <v>7</v>
      </c>
      <c r="R32" s="13" t="s">
        <v>61</v>
      </c>
      <c r="S32" s="9"/>
      <c r="T32" s="10"/>
    </row>
    <row r="33" ht="39.75" customHeight="1">
      <c r="B33" s="54" t="s">
        <v>62</v>
      </c>
      <c r="C33" s="55" t="s">
        <v>63</v>
      </c>
      <c r="D33" s="56" t="s">
        <v>64</v>
      </c>
      <c r="E33" s="57" t="b">
        <v>0</v>
      </c>
      <c r="F33" s="58" t="s">
        <v>65</v>
      </c>
      <c r="G33" s="25" t="s">
        <v>66</v>
      </c>
      <c r="H33" s="44"/>
      <c r="I33" s="44"/>
      <c r="J33" s="44"/>
      <c r="K33" s="44"/>
      <c r="L33" s="44"/>
      <c r="M33" s="44"/>
      <c r="N33" s="45"/>
      <c r="O33" s="11"/>
      <c r="P33" s="21">
        <v>1.0</v>
      </c>
      <c r="Q33" s="22" t="s">
        <v>67</v>
      </c>
      <c r="R33" s="28" t="s">
        <v>68</v>
      </c>
      <c r="S33" s="9"/>
      <c r="T33" s="10"/>
    </row>
    <row r="34" ht="36.75" customHeight="1">
      <c r="B34" s="46"/>
      <c r="C34" s="59" t="s">
        <v>69</v>
      </c>
      <c r="D34" s="17" t="s">
        <v>70</v>
      </c>
      <c r="E34" s="57" t="b">
        <v>1</v>
      </c>
      <c r="F34" s="60" t="s">
        <v>65</v>
      </c>
      <c r="G34" s="25" t="s">
        <v>43</v>
      </c>
      <c r="H34" s="44"/>
      <c r="I34" s="44"/>
      <c r="J34" s="44"/>
      <c r="K34" s="44"/>
      <c r="L34" s="44"/>
      <c r="M34" s="44"/>
      <c r="N34" s="45"/>
      <c r="O34" s="11"/>
      <c r="P34" s="21">
        <v>2.0</v>
      </c>
      <c r="Q34" s="22" t="s">
        <v>71</v>
      </c>
      <c r="R34" s="28" t="s">
        <v>72</v>
      </c>
      <c r="S34" s="9"/>
      <c r="T34" s="10"/>
    </row>
    <row r="35">
      <c r="B35" s="46"/>
      <c r="C35" s="59" t="s">
        <v>73</v>
      </c>
      <c r="D35" s="17" t="s">
        <v>74</v>
      </c>
      <c r="E35" s="61" t="b">
        <v>0</v>
      </c>
      <c r="F35" s="60" t="s">
        <v>75</v>
      </c>
      <c r="G35" s="25" t="s">
        <v>76</v>
      </c>
      <c r="H35" s="44"/>
      <c r="I35" s="44"/>
      <c r="J35" s="44"/>
      <c r="K35" s="44"/>
      <c r="L35" s="44"/>
      <c r="M35" s="44"/>
      <c r="N35" s="45"/>
      <c r="O35" s="11"/>
      <c r="P35" s="21">
        <v>3.0</v>
      </c>
      <c r="Q35" s="22" t="s">
        <v>77</v>
      </c>
      <c r="R35" s="23" t="s">
        <v>78</v>
      </c>
      <c r="S35" s="9"/>
      <c r="T35" s="10"/>
    </row>
    <row r="36" ht="38.25" customHeight="1">
      <c r="B36" s="46"/>
      <c r="C36" s="59" t="s">
        <v>79</v>
      </c>
      <c r="D36" s="17" t="s">
        <v>80</v>
      </c>
      <c r="E36" s="61" t="b">
        <v>0</v>
      </c>
      <c r="F36" s="60" t="s">
        <v>81</v>
      </c>
      <c r="G36" s="47" t="s">
        <v>82</v>
      </c>
      <c r="H36" s="48"/>
      <c r="I36" s="48"/>
      <c r="J36" s="48"/>
      <c r="K36" s="48"/>
      <c r="L36" s="48"/>
      <c r="M36" s="48"/>
      <c r="N36" s="49"/>
      <c r="O36" s="11"/>
      <c r="P36" s="21">
        <v>4.0</v>
      </c>
      <c r="Q36" s="22" t="s">
        <v>83</v>
      </c>
      <c r="R36" s="23" t="s">
        <v>84</v>
      </c>
      <c r="S36" s="9"/>
      <c r="T36" s="10"/>
    </row>
    <row r="37" ht="27.75" customHeight="1">
      <c r="B37" s="46"/>
      <c r="C37" s="59" t="s">
        <v>85</v>
      </c>
      <c r="D37" s="17" t="s">
        <v>86</v>
      </c>
      <c r="E37" s="57" t="b">
        <v>1</v>
      </c>
      <c r="F37" s="60" t="s">
        <v>87</v>
      </c>
      <c r="G37" s="25" t="s">
        <v>88</v>
      </c>
      <c r="H37" s="44"/>
      <c r="I37" s="44"/>
      <c r="J37" s="44"/>
      <c r="K37" s="44"/>
      <c r="L37" s="44"/>
      <c r="M37" s="44"/>
      <c r="N37" s="45"/>
      <c r="O37" s="11"/>
      <c r="P37" s="21">
        <v>5.0</v>
      </c>
      <c r="Q37" s="22" t="s">
        <v>89</v>
      </c>
      <c r="R37" s="23">
        <v>109735.0</v>
      </c>
      <c r="S37" s="9"/>
      <c r="T37" s="10"/>
    </row>
    <row r="38" ht="28.5" customHeight="1">
      <c r="B38" s="46"/>
      <c r="C38" s="59" t="s">
        <v>90</v>
      </c>
      <c r="D38" s="17" t="s">
        <v>91</v>
      </c>
      <c r="E38" s="57" t="b">
        <v>1</v>
      </c>
      <c r="F38" s="60" t="s">
        <v>87</v>
      </c>
      <c r="G38" s="25" t="s">
        <v>92</v>
      </c>
      <c r="H38" s="44"/>
      <c r="I38" s="44"/>
      <c r="J38" s="44"/>
      <c r="K38" s="44"/>
      <c r="L38" s="44"/>
      <c r="M38" s="44"/>
      <c r="N38" s="45"/>
      <c r="O38" s="11"/>
      <c r="P38" s="37"/>
      <c r="Q38" s="11"/>
      <c r="R38" s="32"/>
      <c r="S38" s="32"/>
      <c r="T38" s="32"/>
    </row>
    <row r="39" ht="12.75" customHeight="1">
      <c r="B39" s="46"/>
      <c r="C39" s="62"/>
      <c r="D39" s="60"/>
      <c r="E39" s="61" t="b">
        <v>0</v>
      </c>
      <c r="F39" s="29"/>
      <c r="G39" s="63"/>
      <c r="H39" s="9"/>
      <c r="I39" s="9"/>
      <c r="J39" s="9"/>
      <c r="K39" s="9"/>
      <c r="L39" s="9"/>
      <c r="M39" s="9"/>
      <c r="N39" s="10"/>
      <c r="O39" s="11"/>
      <c r="P39" s="12" t="s">
        <v>93</v>
      </c>
      <c r="Q39" s="33">
        <f>(T39+S39)/2</f>
        <v>83490</v>
      </c>
      <c r="R39" s="32"/>
      <c r="S39" s="50">
        <v>80990.0</v>
      </c>
      <c r="T39" s="50">
        <v>85990.0</v>
      </c>
    </row>
    <row r="40" ht="12.75" customHeight="1">
      <c r="B40" s="46"/>
      <c r="C40" s="62"/>
      <c r="D40" s="60"/>
      <c r="E40" s="61" t="b">
        <v>0</v>
      </c>
      <c r="F40" s="29"/>
      <c r="G40" s="64"/>
      <c r="H40" s="9"/>
      <c r="I40" s="9"/>
      <c r="J40" s="9"/>
      <c r="K40" s="9"/>
      <c r="L40" s="9"/>
      <c r="M40" s="9"/>
      <c r="N40" s="10"/>
      <c r="O40" s="11"/>
      <c r="P40" s="12" t="s">
        <v>94</v>
      </c>
      <c r="Q40" s="33" t="str">
        <f>(F34+F43+(Q39*4))/6</f>
        <v>#VALUE!</v>
      </c>
      <c r="R40" s="32"/>
      <c r="S40" s="32"/>
      <c r="T40" s="32"/>
    </row>
    <row r="41" ht="12.75" customHeight="1">
      <c r="B41" s="46"/>
      <c r="C41" s="62"/>
      <c r="D41" s="60"/>
      <c r="E41" s="61" t="b">
        <v>0</v>
      </c>
      <c r="F41" s="29"/>
      <c r="G41" s="64"/>
      <c r="H41" s="9"/>
      <c r="I41" s="9"/>
      <c r="J41" s="9"/>
      <c r="K41" s="9"/>
      <c r="L41" s="9"/>
      <c r="M41" s="9"/>
      <c r="N41" s="10"/>
      <c r="O41" s="11"/>
      <c r="P41" s="37"/>
      <c r="Q41" s="11"/>
      <c r="R41" s="32"/>
      <c r="S41" s="32"/>
      <c r="T41" s="32"/>
    </row>
    <row r="42" ht="12.75" customHeight="1">
      <c r="B42" s="46"/>
      <c r="C42" s="62"/>
      <c r="D42" s="65"/>
      <c r="E42" s="61" t="b">
        <v>0</v>
      </c>
      <c r="F42" s="29"/>
      <c r="G42" s="64"/>
      <c r="H42" s="9"/>
      <c r="I42" s="9"/>
      <c r="J42" s="9"/>
      <c r="K42" s="9"/>
      <c r="L42" s="9"/>
      <c r="M42" s="9"/>
      <c r="N42" s="10"/>
      <c r="O42" s="11"/>
      <c r="P42" s="37"/>
      <c r="Q42" s="11"/>
      <c r="R42" s="32"/>
      <c r="S42" s="32"/>
      <c r="T42" s="32"/>
    </row>
    <row r="43" ht="12.75" customHeight="1">
      <c r="B43" s="46"/>
      <c r="C43" s="62"/>
      <c r="D43" s="65"/>
      <c r="E43" s="61" t="b">
        <v>0</v>
      </c>
      <c r="F43" s="29"/>
      <c r="G43" s="64"/>
      <c r="H43" s="9"/>
      <c r="I43" s="9"/>
      <c r="J43" s="9"/>
      <c r="K43" s="9"/>
      <c r="L43" s="9"/>
      <c r="M43" s="9"/>
      <c r="N43" s="10"/>
      <c r="O43" s="11"/>
      <c r="P43" s="37"/>
      <c r="Q43" s="11"/>
      <c r="R43" s="32"/>
      <c r="S43" s="32"/>
      <c r="T43" s="32"/>
    </row>
    <row r="44" ht="12.75" customHeight="1">
      <c r="B44" s="51"/>
      <c r="C44" s="62"/>
      <c r="D44" s="65"/>
      <c r="E44" s="61" t="b">
        <v>0</v>
      </c>
      <c r="F44" s="29"/>
      <c r="G44" s="64"/>
      <c r="H44" s="9"/>
      <c r="I44" s="9"/>
      <c r="J44" s="9"/>
      <c r="K44" s="9"/>
      <c r="L44" s="9"/>
      <c r="M44" s="9"/>
      <c r="N44" s="10"/>
      <c r="O44" s="11"/>
      <c r="P44" s="37"/>
      <c r="Q44" s="11"/>
      <c r="R44" s="32"/>
      <c r="S44" s="32"/>
      <c r="T44" s="32"/>
    </row>
    <row r="45" ht="12.75" customHeight="1">
      <c r="C45" s="1"/>
      <c r="D45" s="1"/>
      <c r="E45" s="1"/>
      <c r="F45" s="1"/>
      <c r="G45" s="2"/>
      <c r="H45" s="2"/>
      <c r="P45" s="3"/>
      <c r="R45" s="4"/>
      <c r="S45" s="4"/>
      <c r="T45" s="4"/>
    </row>
    <row r="46" ht="12.75" customHeight="1">
      <c r="C46" s="1"/>
      <c r="D46" s="1"/>
      <c r="E46" s="1"/>
      <c r="F46" s="1"/>
      <c r="G46" s="2"/>
      <c r="H46" s="2"/>
      <c r="P46" s="3"/>
      <c r="R46" s="4"/>
      <c r="S46" s="4"/>
      <c r="T46" s="4"/>
    </row>
    <row r="47" ht="12.75" customHeight="1">
      <c r="B47" s="40" t="s">
        <v>0</v>
      </c>
      <c r="C47" s="7" t="s">
        <v>1</v>
      </c>
      <c r="D47" s="7" t="s">
        <v>2</v>
      </c>
      <c r="E47" s="7" t="s">
        <v>27</v>
      </c>
      <c r="F47" s="7" t="s">
        <v>4</v>
      </c>
      <c r="G47" s="8" t="s">
        <v>5</v>
      </c>
      <c r="H47" s="9"/>
      <c r="I47" s="9"/>
      <c r="J47" s="9"/>
      <c r="K47" s="9"/>
      <c r="L47" s="9"/>
      <c r="M47" s="9"/>
      <c r="N47" s="10"/>
      <c r="P47" s="3"/>
    </row>
    <row r="48" ht="15.75" customHeight="1">
      <c r="B48" s="66"/>
      <c r="C48" s="67"/>
      <c r="D48" s="68"/>
      <c r="E48" s="29" t="b">
        <v>0</v>
      </c>
      <c r="F48" s="68"/>
      <c r="G48" s="64"/>
      <c r="H48" s="9"/>
      <c r="I48" s="9"/>
      <c r="J48" s="9"/>
      <c r="K48" s="9"/>
      <c r="L48" s="9"/>
      <c r="M48" s="9"/>
      <c r="N48" s="10"/>
      <c r="P48" s="3"/>
    </row>
    <row r="49" ht="12.75" customHeight="1">
      <c r="B49" s="46"/>
      <c r="C49" s="62"/>
      <c r="D49" s="29"/>
      <c r="E49" s="29" t="b">
        <v>0</v>
      </c>
      <c r="F49" s="29"/>
      <c r="G49" s="64"/>
      <c r="H49" s="9"/>
      <c r="I49" s="9"/>
      <c r="J49" s="9"/>
      <c r="K49" s="9"/>
      <c r="L49" s="9"/>
      <c r="M49" s="9"/>
      <c r="N49" s="10"/>
      <c r="P49" s="3"/>
    </row>
    <row r="50" ht="12.75" customHeight="1">
      <c r="B50" s="46"/>
      <c r="C50" s="62"/>
      <c r="D50" s="29"/>
      <c r="E50" s="29" t="b">
        <v>0</v>
      </c>
      <c r="F50" s="29"/>
      <c r="G50" s="64"/>
      <c r="H50" s="9"/>
      <c r="I50" s="9"/>
      <c r="J50" s="9"/>
      <c r="K50" s="9"/>
      <c r="L50" s="9"/>
      <c r="M50" s="9"/>
      <c r="N50" s="10"/>
      <c r="P50" s="3"/>
    </row>
    <row r="51" ht="12.75" customHeight="1">
      <c r="B51" s="46"/>
      <c r="C51" s="62"/>
      <c r="D51" s="29"/>
      <c r="E51" s="29" t="b">
        <v>0</v>
      </c>
      <c r="F51" s="29"/>
      <c r="G51" s="69"/>
      <c r="H51" s="9"/>
      <c r="I51" s="9"/>
      <c r="J51" s="9"/>
      <c r="K51" s="9"/>
      <c r="L51" s="9"/>
      <c r="M51" s="9"/>
      <c r="N51" s="10"/>
      <c r="P51" s="3"/>
    </row>
    <row r="52" ht="12.75" customHeight="1">
      <c r="B52" s="46"/>
      <c r="C52" s="62"/>
      <c r="D52" s="29"/>
      <c r="E52" s="29" t="b">
        <v>0</v>
      </c>
      <c r="F52" s="29"/>
      <c r="G52" s="64"/>
      <c r="H52" s="9"/>
      <c r="I52" s="9"/>
      <c r="J52" s="9"/>
      <c r="K52" s="9"/>
      <c r="L52" s="9"/>
      <c r="M52" s="9"/>
      <c r="N52" s="10"/>
      <c r="P52" s="3"/>
    </row>
    <row r="53" ht="12.75" customHeight="1">
      <c r="B53" s="46"/>
      <c r="C53" s="62"/>
      <c r="D53" s="29"/>
      <c r="E53" s="29" t="b">
        <v>0</v>
      </c>
      <c r="F53" s="29"/>
      <c r="G53" s="64"/>
      <c r="H53" s="9"/>
      <c r="I53" s="9"/>
      <c r="J53" s="9"/>
      <c r="K53" s="9"/>
      <c r="L53" s="9"/>
      <c r="M53" s="9"/>
      <c r="N53" s="10"/>
      <c r="P53" s="3"/>
    </row>
    <row r="54" ht="12.75" customHeight="1">
      <c r="B54" s="46"/>
      <c r="C54" s="62"/>
      <c r="D54" s="29"/>
      <c r="E54" s="29" t="b">
        <v>0</v>
      </c>
      <c r="F54" s="29"/>
      <c r="G54" s="64"/>
      <c r="H54" s="9"/>
      <c r="I54" s="9"/>
      <c r="J54" s="9"/>
      <c r="K54" s="9"/>
      <c r="L54" s="9"/>
      <c r="M54" s="9"/>
      <c r="N54" s="10"/>
      <c r="P54" s="3"/>
    </row>
    <row r="55" ht="12.75" customHeight="1">
      <c r="B55" s="46"/>
      <c r="C55" s="62"/>
      <c r="D55" s="29"/>
      <c r="E55" s="29" t="b">
        <v>0</v>
      </c>
      <c r="F55" s="29"/>
      <c r="G55" s="64"/>
      <c r="H55" s="9"/>
      <c r="I55" s="9"/>
      <c r="J55" s="9"/>
      <c r="K55" s="9"/>
      <c r="L55" s="9"/>
      <c r="M55" s="9"/>
      <c r="N55" s="10"/>
      <c r="P55" s="3"/>
    </row>
    <row r="56" ht="12.75" customHeight="1">
      <c r="B56" s="46"/>
      <c r="C56" s="62"/>
      <c r="D56" s="29"/>
      <c r="E56" s="29" t="b">
        <v>0</v>
      </c>
      <c r="F56" s="29"/>
      <c r="G56" s="64"/>
      <c r="H56" s="9"/>
      <c r="I56" s="9"/>
      <c r="J56" s="9"/>
      <c r="K56" s="9"/>
      <c r="L56" s="9"/>
      <c r="M56" s="9"/>
      <c r="N56" s="10"/>
      <c r="P56" s="3"/>
    </row>
    <row r="57" ht="12.75" customHeight="1">
      <c r="B57" s="46"/>
      <c r="C57" s="62"/>
      <c r="D57" s="29"/>
      <c r="E57" s="29" t="b">
        <v>0</v>
      </c>
      <c r="F57" s="29"/>
      <c r="G57" s="64"/>
      <c r="H57" s="9"/>
      <c r="I57" s="9"/>
      <c r="J57" s="9"/>
      <c r="K57" s="9"/>
      <c r="L57" s="9"/>
      <c r="M57" s="9"/>
      <c r="N57" s="10"/>
      <c r="P57" s="3"/>
    </row>
    <row r="58" ht="12.75" customHeight="1">
      <c r="B58" s="46"/>
      <c r="C58" s="62"/>
      <c r="D58" s="29"/>
      <c r="E58" s="29" t="b">
        <v>0</v>
      </c>
      <c r="F58" s="29"/>
      <c r="G58" s="64"/>
      <c r="H58" s="9"/>
      <c r="I58" s="9"/>
      <c r="J58" s="9"/>
      <c r="K58" s="9"/>
      <c r="L58" s="9"/>
      <c r="M58" s="9"/>
      <c r="N58" s="10"/>
      <c r="P58" s="3"/>
    </row>
    <row r="59" ht="12.75" customHeight="1">
      <c r="B59" s="51"/>
      <c r="C59" s="62"/>
      <c r="D59" s="29"/>
      <c r="E59" s="29" t="b">
        <v>0</v>
      </c>
      <c r="F59" s="29"/>
      <c r="G59" s="64"/>
      <c r="H59" s="9"/>
      <c r="I59" s="9"/>
      <c r="J59" s="9"/>
      <c r="K59" s="9"/>
      <c r="L59" s="9"/>
      <c r="M59" s="9"/>
      <c r="N59" s="10"/>
      <c r="P59" s="3"/>
    </row>
    <row r="60" ht="12.75" customHeight="1">
      <c r="C60" s="1"/>
      <c r="D60" s="1"/>
      <c r="E60" s="1"/>
      <c r="F60" s="1"/>
      <c r="G60" s="2"/>
      <c r="H60" s="2"/>
      <c r="P60" s="3"/>
    </row>
    <row r="61" ht="12.75" customHeight="1">
      <c r="C61" s="1"/>
      <c r="D61" s="1"/>
      <c r="E61" s="1"/>
      <c r="F61" s="1"/>
      <c r="G61" s="2"/>
      <c r="H61" s="2"/>
      <c r="P61" s="3"/>
    </row>
    <row r="62" ht="12.75" customHeight="1">
      <c r="C62" s="1"/>
      <c r="D62" s="1"/>
      <c r="E62" s="1"/>
      <c r="F62" s="1"/>
      <c r="G62" s="2"/>
      <c r="H62" s="2"/>
      <c r="P62" s="3"/>
    </row>
    <row r="63" ht="12.75" customHeight="1">
      <c r="C63" s="1"/>
      <c r="D63" s="1"/>
      <c r="E63" s="1"/>
      <c r="F63" s="1"/>
      <c r="G63" s="2"/>
      <c r="H63" s="2"/>
      <c r="P63" s="3"/>
    </row>
    <row r="64" ht="12.75" customHeight="1">
      <c r="C64" s="1"/>
      <c r="D64" s="1"/>
      <c r="E64" s="1"/>
      <c r="F64" s="1"/>
      <c r="G64" s="2"/>
      <c r="H64" s="2"/>
      <c r="P64" s="3"/>
    </row>
    <row r="65" ht="12.75" customHeight="1">
      <c r="C65" s="1"/>
      <c r="D65" s="1"/>
      <c r="E65" s="1"/>
      <c r="F65" s="1"/>
      <c r="G65" s="2"/>
      <c r="H65" s="2"/>
      <c r="P65" s="3"/>
    </row>
    <row r="66" ht="12.75" customHeight="1">
      <c r="C66" s="1"/>
      <c r="D66" s="1"/>
      <c r="E66" s="1"/>
      <c r="F66" s="1"/>
      <c r="G66" s="2"/>
      <c r="H66" s="2"/>
      <c r="P66" s="3"/>
    </row>
    <row r="67" ht="12.75" customHeight="1">
      <c r="C67" s="1"/>
      <c r="D67" s="1"/>
      <c r="E67" s="1"/>
      <c r="F67" s="1"/>
      <c r="G67" s="2"/>
      <c r="H67" s="2"/>
      <c r="P67" s="3"/>
    </row>
    <row r="68" ht="12.75" customHeight="1">
      <c r="C68" s="1"/>
      <c r="D68" s="1"/>
      <c r="E68" s="1"/>
      <c r="F68" s="1"/>
      <c r="G68" s="2"/>
      <c r="H68" s="2"/>
      <c r="P68" s="3"/>
    </row>
    <row r="69" ht="12.75" customHeight="1">
      <c r="C69" s="1"/>
      <c r="D69" s="1"/>
      <c r="E69" s="1"/>
      <c r="F69" s="1"/>
      <c r="G69" s="2"/>
      <c r="H69" s="2"/>
      <c r="P69" s="3"/>
    </row>
    <row r="70" ht="12.75" customHeight="1">
      <c r="C70" s="1"/>
      <c r="D70" s="1"/>
      <c r="E70" s="1"/>
      <c r="F70" s="1"/>
      <c r="G70" s="2"/>
      <c r="H70" s="2"/>
      <c r="P70" s="3"/>
    </row>
    <row r="71" ht="12.75" customHeight="1">
      <c r="C71" s="1"/>
      <c r="D71" s="1"/>
      <c r="E71" s="1"/>
      <c r="F71" s="1"/>
      <c r="G71" s="2"/>
      <c r="H71" s="2"/>
      <c r="P71" s="3"/>
    </row>
    <row r="72" ht="12.75" customHeight="1">
      <c r="C72" s="1"/>
      <c r="D72" s="1"/>
      <c r="E72" s="1"/>
      <c r="F72" s="1"/>
      <c r="G72" s="2"/>
      <c r="H72" s="2"/>
      <c r="P72" s="3"/>
    </row>
    <row r="73" ht="12.75" customHeight="1">
      <c r="C73" s="1"/>
      <c r="D73" s="1"/>
      <c r="E73" s="1"/>
      <c r="F73" s="1"/>
      <c r="G73" s="2"/>
      <c r="H73" s="2"/>
      <c r="P73" s="3"/>
    </row>
    <row r="74" ht="12.75" customHeight="1">
      <c r="C74" s="1"/>
      <c r="D74" s="1"/>
      <c r="E74" s="1"/>
      <c r="F74" s="1"/>
      <c r="G74" s="2"/>
      <c r="H74" s="2"/>
      <c r="P74" s="3"/>
    </row>
    <row r="75" ht="12.75" customHeight="1">
      <c r="C75" s="1"/>
      <c r="D75" s="1"/>
      <c r="E75" s="1"/>
      <c r="F75" s="1"/>
      <c r="G75" s="2"/>
      <c r="H75" s="2"/>
      <c r="P75" s="3"/>
    </row>
    <row r="76" ht="12.75" customHeight="1">
      <c r="C76" s="1"/>
      <c r="D76" s="1"/>
      <c r="E76" s="1"/>
      <c r="F76" s="1"/>
      <c r="G76" s="2"/>
      <c r="H76" s="2"/>
      <c r="P76" s="3"/>
    </row>
    <row r="77" ht="12.75" customHeight="1">
      <c r="C77" s="1"/>
      <c r="D77" s="1"/>
      <c r="E77" s="1"/>
      <c r="F77" s="1"/>
      <c r="G77" s="2"/>
      <c r="H77" s="2"/>
      <c r="P77" s="3"/>
    </row>
    <row r="78" ht="12.75" customHeight="1">
      <c r="C78" s="1"/>
      <c r="D78" s="1"/>
      <c r="E78" s="1"/>
      <c r="F78" s="1"/>
      <c r="G78" s="2"/>
      <c r="H78" s="2"/>
      <c r="P78" s="3"/>
    </row>
    <row r="79" ht="12.75" customHeight="1">
      <c r="C79" s="1"/>
      <c r="D79" s="1"/>
      <c r="E79" s="1"/>
      <c r="F79" s="1"/>
      <c r="G79" s="2"/>
      <c r="H79" s="2"/>
      <c r="P79" s="3"/>
    </row>
    <row r="80" ht="12.75" customHeight="1">
      <c r="C80" s="1"/>
      <c r="D80" s="1"/>
      <c r="E80" s="1"/>
      <c r="F80" s="1"/>
      <c r="G80" s="2"/>
      <c r="H80" s="2"/>
      <c r="P80" s="3"/>
    </row>
    <row r="81" ht="12.75" customHeight="1">
      <c r="C81" s="1"/>
      <c r="D81" s="1"/>
      <c r="E81" s="1"/>
      <c r="F81" s="1"/>
      <c r="G81" s="2"/>
      <c r="H81" s="2"/>
      <c r="P81" s="3"/>
    </row>
    <row r="82" ht="12.75" customHeight="1">
      <c r="C82" s="1"/>
      <c r="D82" s="1"/>
      <c r="E82" s="1"/>
      <c r="F82" s="1"/>
      <c r="G82" s="2"/>
      <c r="H82" s="2"/>
      <c r="P82" s="3"/>
    </row>
    <row r="83" ht="12.75" customHeight="1">
      <c r="C83" s="1"/>
      <c r="D83" s="1"/>
      <c r="E83" s="1"/>
      <c r="F83" s="1"/>
      <c r="G83" s="2"/>
      <c r="H83" s="2"/>
      <c r="P83" s="3"/>
    </row>
    <row r="84" ht="12.75" customHeight="1">
      <c r="C84" s="1"/>
      <c r="D84" s="1"/>
      <c r="E84" s="1"/>
      <c r="F84" s="1"/>
      <c r="G84" s="2"/>
      <c r="H84" s="2"/>
      <c r="P84" s="3"/>
    </row>
    <row r="85" ht="12.75" customHeight="1">
      <c r="C85" s="1"/>
      <c r="D85" s="1"/>
      <c r="E85" s="1"/>
      <c r="F85" s="1"/>
      <c r="G85" s="2"/>
      <c r="H85" s="2"/>
      <c r="P85" s="3"/>
    </row>
    <row r="86" ht="12.75" customHeight="1">
      <c r="C86" s="1"/>
      <c r="D86" s="1"/>
      <c r="E86" s="1"/>
      <c r="F86" s="1"/>
      <c r="G86" s="2"/>
      <c r="H86" s="2"/>
      <c r="P86" s="3"/>
    </row>
    <row r="87" ht="12.75" customHeight="1">
      <c r="C87" s="1"/>
      <c r="D87" s="1"/>
      <c r="E87" s="1"/>
      <c r="F87" s="1"/>
      <c r="G87" s="2"/>
      <c r="H87" s="2"/>
      <c r="P87" s="3"/>
    </row>
    <row r="88" ht="12.75" customHeight="1">
      <c r="C88" s="1"/>
      <c r="D88" s="1"/>
      <c r="E88" s="1"/>
      <c r="F88" s="1"/>
      <c r="G88" s="2"/>
      <c r="H88" s="2"/>
      <c r="P88" s="3"/>
    </row>
    <row r="89" ht="12.75" customHeight="1">
      <c r="C89" s="1"/>
      <c r="D89" s="1"/>
      <c r="E89" s="1"/>
      <c r="F89" s="1"/>
      <c r="G89" s="2"/>
      <c r="H89" s="2"/>
      <c r="P89" s="3"/>
    </row>
    <row r="90" ht="12.75" customHeight="1">
      <c r="C90" s="1"/>
      <c r="D90" s="1"/>
      <c r="E90" s="1"/>
      <c r="F90" s="1"/>
      <c r="G90" s="2"/>
      <c r="H90" s="2"/>
      <c r="P90" s="3"/>
    </row>
    <row r="91" ht="12.75" customHeight="1">
      <c r="C91" s="1"/>
      <c r="D91" s="1"/>
      <c r="E91" s="1"/>
      <c r="F91" s="1"/>
      <c r="G91" s="2"/>
      <c r="H91" s="2"/>
      <c r="P91" s="3"/>
    </row>
    <row r="92" ht="12.75" customHeight="1">
      <c r="C92" s="1"/>
      <c r="D92" s="1"/>
      <c r="E92" s="1"/>
      <c r="F92" s="1"/>
      <c r="G92" s="2"/>
      <c r="H92" s="2"/>
      <c r="P92" s="3"/>
    </row>
    <row r="93" ht="12.75" customHeight="1">
      <c r="C93" s="1"/>
      <c r="D93" s="1"/>
      <c r="E93" s="1"/>
      <c r="F93" s="1"/>
      <c r="G93" s="2"/>
      <c r="H93" s="2"/>
      <c r="P93" s="3"/>
    </row>
    <row r="94" ht="12.75" customHeight="1">
      <c r="C94" s="1"/>
      <c r="D94" s="1"/>
      <c r="E94" s="1"/>
      <c r="F94" s="1"/>
      <c r="G94" s="2"/>
      <c r="H94" s="2"/>
      <c r="P94" s="3"/>
    </row>
    <row r="95" ht="12.75" customHeight="1">
      <c r="C95" s="1"/>
      <c r="D95" s="1"/>
      <c r="E95" s="1"/>
      <c r="F95" s="1"/>
      <c r="G95" s="2"/>
      <c r="H95" s="2"/>
      <c r="P95" s="3"/>
    </row>
    <row r="96" ht="12.75" customHeight="1">
      <c r="C96" s="1"/>
      <c r="D96" s="1"/>
      <c r="E96" s="1"/>
      <c r="F96" s="1"/>
      <c r="G96" s="2"/>
      <c r="H96" s="2"/>
      <c r="P96" s="3"/>
    </row>
    <row r="97" ht="12.75" customHeight="1">
      <c r="C97" s="1"/>
      <c r="D97" s="1"/>
      <c r="E97" s="1"/>
      <c r="F97" s="1"/>
      <c r="G97" s="2"/>
      <c r="H97" s="2"/>
      <c r="P97" s="3"/>
    </row>
    <row r="98" ht="12.75" customHeight="1">
      <c r="C98" s="1"/>
      <c r="D98" s="1"/>
      <c r="E98" s="1"/>
      <c r="F98" s="1"/>
      <c r="G98" s="2"/>
      <c r="H98" s="2"/>
      <c r="P98" s="3"/>
    </row>
    <row r="99" ht="12.75" customHeight="1">
      <c r="C99" s="1"/>
      <c r="D99" s="1"/>
      <c r="E99" s="1"/>
      <c r="F99" s="1"/>
      <c r="G99" s="2"/>
      <c r="H99" s="2"/>
      <c r="P99" s="3"/>
    </row>
    <row r="100" ht="12.75" customHeight="1">
      <c r="C100" s="1"/>
      <c r="D100" s="1"/>
      <c r="E100" s="1"/>
      <c r="F100" s="1"/>
      <c r="G100" s="2"/>
      <c r="H100" s="2"/>
      <c r="P100" s="3"/>
    </row>
    <row r="101" ht="12.75" customHeight="1">
      <c r="C101" s="1"/>
      <c r="D101" s="1"/>
      <c r="E101" s="1"/>
      <c r="F101" s="1"/>
      <c r="G101" s="2"/>
      <c r="H101" s="2"/>
      <c r="P101" s="3"/>
    </row>
    <row r="102" ht="12.75" customHeight="1">
      <c r="C102" s="1"/>
      <c r="D102" s="1"/>
      <c r="E102" s="1"/>
      <c r="F102" s="1"/>
      <c r="G102" s="2"/>
      <c r="H102" s="2"/>
      <c r="P102" s="3"/>
    </row>
    <row r="103" ht="12.75" customHeight="1">
      <c r="C103" s="1"/>
      <c r="D103" s="1"/>
      <c r="E103" s="1"/>
      <c r="F103" s="1"/>
      <c r="G103" s="2"/>
      <c r="H103" s="2"/>
      <c r="P103" s="3"/>
    </row>
    <row r="104" ht="12.75" customHeight="1">
      <c r="C104" s="1"/>
      <c r="D104" s="1"/>
      <c r="E104" s="1"/>
      <c r="F104" s="1"/>
      <c r="G104" s="2"/>
      <c r="H104" s="2"/>
      <c r="P104" s="3"/>
    </row>
    <row r="105" ht="12.75" customHeight="1">
      <c r="C105" s="1"/>
      <c r="D105" s="1"/>
      <c r="E105" s="1"/>
      <c r="F105" s="1"/>
      <c r="G105" s="2"/>
      <c r="H105" s="2"/>
      <c r="P105" s="3"/>
    </row>
    <row r="106" ht="12.75" customHeight="1">
      <c r="C106" s="1"/>
      <c r="D106" s="1"/>
      <c r="E106" s="1"/>
      <c r="F106" s="1"/>
      <c r="G106" s="2"/>
      <c r="H106" s="2"/>
      <c r="P106" s="3"/>
    </row>
    <row r="107" ht="12.75" customHeight="1">
      <c r="C107" s="1"/>
      <c r="D107" s="1"/>
      <c r="E107" s="1"/>
      <c r="F107" s="1"/>
      <c r="G107" s="2"/>
      <c r="H107" s="2"/>
      <c r="P107" s="3"/>
    </row>
    <row r="108" ht="12.75" customHeight="1">
      <c r="C108" s="1"/>
      <c r="D108" s="1"/>
      <c r="E108" s="1"/>
      <c r="F108" s="1"/>
      <c r="G108" s="2"/>
      <c r="H108" s="2"/>
      <c r="P108" s="3"/>
    </row>
    <row r="109" ht="12.75" customHeight="1">
      <c r="C109" s="1"/>
      <c r="D109" s="1"/>
      <c r="E109" s="1"/>
      <c r="F109" s="1"/>
      <c r="G109" s="2"/>
      <c r="H109" s="2"/>
      <c r="P109" s="3"/>
    </row>
    <row r="110" ht="12.75" customHeight="1">
      <c r="C110" s="1"/>
      <c r="D110" s="1"/>
      <c r="E110" s="1"/>
      <c r="F110" s="1"/>
      <c r="G110" s="2"/>
      <c r="H110" s="2"/>
      <c r="P110" s="3"/>
    </row>
    <row r="111" ht="12.75" customHeight="1">
      <c r="C111" s="1"/>
      <c r="D111" s="1"/>
      <c r="E111" s="1"/>
      <c r="F111" s="1"/>
      <c r="G111" s="2"/>
      <c r="H111" s="2"/>
      <c r="P111" s="3"/>
    </row>
    <row r="112" ht="12.75" customHeight="1">
      <c r="C112" s="1"/>
      <c r="D112" s="1"/>
      <c r="E112" s="1"/>
      <c r="F112" s="1"/>
      <c r="G112" s="2"/>
      <c r="H112" s="2"/>
      <c r="P112" s="3"/>
    </row>
    <row r="113" ht="12.75" customHeight="1">
      <c r="C113" s="1"/>
      <c r="D113" s="1"/>
      <c r="E113" s="1"/>
      <c r="F113" s="1"/>
      <c r="G113" s="2"/>
      <c r="H113" s="2"/>
      <c r="P113" s="3"/>
    </row>
    <row r="114" ht="12.75" customHeight="1">
      <c r="C114" s="1"/>
      <c r="D114" s="1"/>
      <c r="E114" s="1"/>
      <c r="F114" s="1"/>
      <c r="G114" s="2"/>
      <c r="H114" s="2"/>
      <c r="P114" s="3"/>
    </row>
    <row r="115" ht="12.75" customHeight="1">
      <c r="C115" s="1"/>
      <c r="D115" s="1"/>
      <c r="E115" s="1"/>
      <c r="F115" s="1"/>
      <c r="G115" s="2"/>
      <c r="H115" s="2"/>
      <c r="P115" s="3"/>
    </row>
    <row r="116" ht="12.75" customHeight="1">
      <c r="C116" s="1"/>
      <c r="D116" s="1"/>
      <c r="E116" s="1"/>
      <c r="F116" s="1"/>
      <c r="G116" s="2"/>
      <c r="H116" s="2"/>
      <c r="P116" s="3"/>
    </row>
    <row r="117" ht="12.75" customHeight="1">
      <c r="C117" s="1"/>
      <c r="D117" s="1"/>
      <c r="E117" s="1"/>
      <c r="F117" s="1"/>
      <c r="G117" s="2"/>
      <c r="H117" s="2"/>
      <c r="P117" s="3"/>
    </row>
    <row r="118" ht="12.75" customHeight="1">
      <c r="C118" s="1"/>
      <c r="D118" s="1"/>
      <c r="E118" s="1"/>
      <c r="F118" s="1"/>
      <c r="G118" s="2"/>
      <c r="H118" s="2"/>
      <c r="P118" s="3"/>
    </row>
    <row r="119" ht="12.75" customHeight="1">
      <c r="C119" s="1"/>
      <c r="D119" s="1"/>
      <c r="E119" s="1"/>
      <c r="F119" s="1"/>
      <c r="G119" s="2"/>
      <c r="H119" s="2"/>
      <c r="P119" s="3"/>
    </row>
    <row r="120" ht="12.75" customHeight="1">
      <c r="C120" s="1"/>
      <c r="D120" s="1"/>
      <c r="E120" s="1"/>
      <c r="F120" s="1"/>
      <c r="G120" s="2"/>
      <c r="H120" s="2"/>
      <c r="P120" s="3"/>
    </row>
    <row r="121" ht="12.75" customHeight="1">
      <c r="C121" s="1"/>
      <c r="D121" s="1"/>
      <c r="E121" s="1"/>
      <c r="F121" s="1"/>
      <c r="G121" s="2"/>
      <c r="H121" s="2"/>
      <c r="P121" s="3"/>
    </row>
    <row r="122" ht="12.75" customHeight="1">
      <c r="C122" s="1"/>
      <c r="D122" s="1"/>
      <c r="E122" s="1"/>
      <c r="F122" s="1"/>
      <c r="G122" s="2"/>
      <c r="H122" s="2"/>
      <c r="P122" s="3"/>
    </row>
    <row r="123" ht="12.75" customHeight="1">
      <c r="C123" s="1"/>
      <c r="D123" s="1"/>
      <c r="E123" s="1"/>
      <c r="F123" s="1"/>
      <c r="G123" s="2"/>
      <c r="H123" s="2"/>
      <c r="P123" s="3"/>
    </row>
    <row r="124" ht="12.75" customHeight="1">
      <c r="C124" s="1"/>
      <c r="D124" s="1"/>
      <c r="E124" s="1"/>
      <c r="F124" s="1"/>
      <c r="G124" s="2"/>
      <c r="H124" s="2"/>
      <c r="P124" s="3"/>
    </row>
    <row r="125" ht="12.75" customHeight="1">
      <c r="C125" s="1"/>
      <c r="D125" s="1"/>
      <c r="E125" s="1"/>
      <c r="F125" s="1"/>
      <c r="G125" s="2"/>
      <c r="H125" s="2"/>
      <c r="P125" s="3"/>
    </row>
    <row r="126" ht="12.75" customHeight="1">
      <c r="C126" s="1"/>
      <c r="D126" s="1"/>
      <c r="E126" s="1"/>
      <c r="F126" s="1"/>
      <c r="G126" s="2"/>
      <c r="H126" s="2"/>
      <c r="P126" s="3"/>
    </row>
    <row r="127" ht="12.75" customHeight="1">
      <c r="C127" s="1"/>
      <c r="D127" s="1"/>
      <c r="E127" s="1"/>
      <c r="F127" s="1"/>
      <c r="G127" s="2"/>
      <c r="H127" s="2"/>
      <c r="P127" s="3"/>
    </row>
    <row r="128" ht="12.75" customHeight="1">
      <c r="C128" s="1"/>
      <c r="D128" s="1"/>
      <c r="E128" s="1"/>
      <c r="F128" s="1"/>
      <c r="G128" s="2"/>
      <c r="H128" s="2"/>
      <c r="P128" s="3"/>
    </row>
    <row r="129" ht="12.75" customHeight="1">
      <c r="C129" s="1"/>
      <c r="D129" s="1"/>
      <c r="E129" s="1"/>
      <c r="F129" s="1"/>
      <c r="G129" s="2"/>
      <c r="H129" s="2"/>
      <c r="P129" s="3"/>
    </row>
    <row r="130" ht="12.75" customHeight="1">
      <c r="C130" s="1"/>
      <c r="D130" s="1"/>
      <c r="E130" s="1"/>
      <c r="F130" s="1"/>
      <c r="G130" s="2"/>
      <c r="H130" s="2"/>
      <c r="P130" s="3"/>
    </row>
    <row r="131" ht="12.75" customHeight="1">
      <c r="C131" s="1"/>
      <c r="D131" s="1"/>
      <c r="E131" s="1"/>
      <c r="F131" s="1"/>
      <c r="G131" s="2"/>
      <c r="H131" s="2"/>
      <c r="P131" s="3"/>
    </row>
    <row r="132" ht="12.75" customHeight="1">
      <c r="C132" s="1"/>
      <c r="D132" s="1"/>
      <c r="E132" s="1"/>
      <c r="F132" s="1"/>
      <c r="G132" s="2"/>
      <c r="H132" s="2"/>
      <c r="P132" s="3"/>
    </row>
    <row r="133" ht="12.75" customHeight="1">
      <c r="C133" s="1"/>
      <c r="D133" s="1"/>
      <c r="E133" s="1"/>
      <c r="F133" s="1"/>
      <c r="G133" s="2"/>
      <c r="H133" s="2"/>
      <c r="P133" s="3"/>
    </row>
    <row r="134" ht="12.75" customHeight="1">
      <c r="C134" s="1"/>
      <c r="D134" s="1"/>
      <c r="E134" s="1"/>
      <c r="F134" s="1"/>
      <c r="G134" s="2"/>
      <c r="H134" s="2"/>
      <c r="P134" s="3"/>
    </row>
    <row r="135" ht="12.75" customHeight="1">
      <c r="C135" s="1"/>
      <c r="D135" s="1"/>
      <c r="E135" s="1"/>
      <c r="F135" s="1"/>
      <c r="G135" s="2"/>
      <c r="H135" s="2"/>
      <c r="P135" s="3"/>
    </row>
    <row r="136" ht="12.75" customHeight="1">
      <c r="C136" s="1"/>
      <c r="D136" s="1"/>
      <c r="E136" s="1"/>
      <c r="F136" s="1"/>
      <c r="G136" s="2"/>
      <c r="H136" s="2"/>
      <c r="P136" s="3"/>
    </row>
    <row r="137" ht="12.75" customHeight="1">
      <c r="C137" s="1"/>
      <c r="D137" s="1"/>
      <c r="E137" s="1"/>
      <c r="F137" s="1"/>
      <c r="G137" s="2"/>
      <c r="H137" s="2"/>
      <c r="P137" s="3"/>
    </row>
    <row r="138" ht="12.75" customHeight="1">
      <c r="C138" s="1"/>
      <c r="D138" s="1"/>
      <c r="E138" s="1"/>
      <c r="F138" s="1"/>
      <c r="G138" s="2"/>
      <c r="H138" s="2"/>
      <c r="P138" s="3"/>
    </row>
    <row r="139" ht="12.75" customHeight="1">
      <c r="C139" s="1"/>
      <c r="D139" s="1"/>
      <c r="E139" s="1"/>
      <c r="F139" s="1"/>
      <c r="G139" s="2"/>
      <c r="H139" s="2"/>
      <c r="P139" s="3"/>
    </row>
    <row r="140" ht="12.75" customHeight="1">
      <c r="C140" s="1"/>
      <c r="D140" s="1"/>
      <c r="E140" s="1"/>
      <c r="F140" s="1"/>
      <c r="G140" s="2"/>
      <c r="H140" s="2"/>
      <c r="P140" s="3"/>
    </row>
    <row r="141" ht="12.75" customHeight="1">
      <c r="C141" s="1"/>
      <c r="D141" s="1"/>
      <c r="E141" s="1"/>
      <c r="F141" s="1"/>
      <c r="G141" s="2"/>
      <c r="H141" s="2"/>
      <c r="P141" s="3"/>
    </row>
    <row r="142" ht="12.75" customHeight="1">
      <c r="C142" s="1"/>
      <c r="D142" s="1"/>
      <c r="E142" s="1"/>
      <c r="F142" s="1"/>
      <c r="G142" s="2"/>
      <c r="H142" s="2"/>
      <c r="P142" s="3"/>
    </row>
    <row r="143" ht="12.75" customHeight="1">
      <c r="C143" s="1"/>
      <c r="D143" s="1"/>
      <c r="E143" s="1"/>
      <c r="F143" s="1"/>
      <c r="G143" s="2"/>
      <c r="H143" s="2"/>
      <c r="P143" s="3"/>
    </row>
    <row r="144" ht="12.75" customHeight="1">
      <c r="C144" s="1"/>
      <c r="D144" s="1"/>
      <c r="E144" s="1"/>
      <c r="F144" s="1"/>
      <c r="G144" s="2"/>
      <c r="H144" s="2"/>
      <c r="P144" s="3"/>
    </row>
    <row r="145" ht="12.75" customHeight="1">
      <c r="C145" s="1"/>
      <c r="D145" s="1"/>
      <c r="E145" s="1"/>
      <c r="F145" s="1"/>
      <c r="G145" s="2"/>
      <c r="H145" s="2"/>
      <c r="P145" s="3"/>
    </row>
    <row r="146" ht="12.75" customHeight="1">
      <c r="C146" s="1"/>
      <c r="D146" s="1"/>
      <c r="E146" s="1"/>
      <c r="F146" s="1"/>
      <c r="G146" s="2"/>
      <c r="H146" s="2"/>
      <c r="P146" s="3"/>
    </row>
    <row r="147" ht="12.75" customHeight="1">
      <c r="C147" s="1"/>
      <c r="D147" s="1"/>
      <c r="E147" s="1"/>
      <c r="F147" s="1"/>
      <c r="G147" s="2"/>
      <c r="H147" s="2"/>
      <c r="P147" s="3"/>
    </row>
    <row r="148" ht="12.75" customHeight="1">
      <c r="C148" s="1"/>
      <c r="D148" s="1"/>
      <c r="E148" s="1"/>
      <c r="F148" s="1"/>
      <c r="G148" s="2"/>
      <c r="H148" s="2"/>
      <c r="P148" s="3"/>
    </row>
    <row r="149" ht="12.75" customHeight="1">
      <c r="C149" s="1"/>
      <c r="D149" s="1"/>
      <c r="E149" s="1"/>
      <c r="F149" s="1"/>
      <c r="G149" s="2"/>
      <c r="H149" s="2"/>
      <c r="P149" s="3"/>
    </row>
    <row r="150" ht="12.75" customHeight="1">
      <c r="C150" s="1"/>
      <c r="D150" s="1"/>
      <c r="E150" s="1"/>
      <c r="F150" s="1"/>
      <c r="G150" s="2"/>
      <c r="H150" s="2"/>
      <c r="P150" s="3"/>
    </row>
    <row r="151" ht="12.75" customHeight="1">
      <c r="C151" s="1"/>
      <c r="D151" s="1"/>
      <c r="E151" s="1"/>
      <c r="F151" s="1"/>
      <c r="G151" s="2"/>
      <c r="H151" s="2"/>
      <c r="P151" s="3"/>
    </row>
    <row r="152" ht="12.75" customHeight="1">
      <c r="C152" s="1"/>
      <c r="D152" s="1"/>
      <c r="E152" s="1"/>
      <c r="F152" s="1"/>
      <c r="G152" s="2"/>
      <c r="H152" s="2"/>
      <c r="P152" s="3"/>
    </row>
    <row r="153" ht="12.75" customHeight="1">
      <c r="C153" s="1"/>
      <c r="D153" s="1"/>
      <c r="E153" s="1"/>
      <c r="F153" s="1"/>
      <c r="G153" s="2"/>
      <c r="H153" s="2"/>
      <c r="P153" s="3"/>
    </row>
    <row r="154" ht="12.75" customHeight="1">
      <c r="C154" s="1"/>
      <c r="D154" s="1"/>
      <c r="E154" s="1"/>
      <c r="F154" s="1"/>
      <c r="G154" s="2"/>
      <c r="H154" s="2"/>
      <c r="P154" s="3"/>
    </row>
    <row r="155" ht="12.75" customHeight="1">
      <c r="C155" s="1"/>
      <c r="D155" s="1"/>
      <c r="E155" s="1"/>
      <c r="F155" s="1"/>
      <c r="G155" s="2"/>
      <c r="H155" s="2"/>
      <c r="P155" s="3"/>
    </row>
    <row r="156" ht="12.75" customHeight="1">
      <c r="C156" s="1"/>
      <c r="D156" s="1"/>
      <c r="E156" s="1"/>
      <c r="F156" s="1"/>
      <c r="G156" s="2"/>
      <c r="H156" s="2"/>
      <c r="P156" s="3"/>
    </row>
    <row r="157" ht="12.75" customHeight="1">
      <c r="C157" s="1"/>
      <c r="D157" s="1"/>
      <c r="E157" s="1"/>
      <c r="F157" s="1"/>
      <c r="G157" s="2"/>
      <c r="H157" s="2"/>
      <c r="P157" s="3"/>
    </row>
    <row r="158" ht="12.75" customHeight="1">
      <c r="C158" s="1"/>
      <c r="D158" s="1"/>
      <c r="E158" s="1"/>
      <c r="F158" s="1"/>
      <c r="G158" s="2"/>
      <c r="H158" s="2"/>
      <c r="P158" s="3"/>
    </row>
    <row r="159" ht="12.75" customHeight="1">
      <c r="C159" s="1"/>
      <c r="D159" s="1"/>
      <c r="E159" s="1"/>
      <c r="F159" s="1"/>
      <c r="G159" s="2"/>
      <c r="H159" s="2"/>
      <c r="P159" s="3"/>
    </row>
    <row r="160" ht="12.75" customHeight="1">
      <c r="C160" s="1"/>
      <c r="D160" s="1"/>
      <c r="E160" s="1"/>
      <c r="F160" s="1"/>
      <c r="G160" s="2"/>
      <c r="H160" s="2"/>
      <c r="P160" s="3"/>
    </row>
    <row r="161" ht="12.75" customHeight="1">
      <c r="C161" s="1"/>
      <c r="D161" s="1"/>
      <c r="E161" s="1"/>
      <c r="F161" s="1"/>
      <c r="G161" s="2"/>
      <c r="H161" s="2"/>
      <c r="P161" s="3"/>
    </row>
    <row r="162" ht="12.75" customHeight="1">
      <c r="C162" s="1"/>
      <c r="D162" s="1"/>
      <c r="E162" s="1"/>
      <c r="F162" s="1"/>
      <c r="G162" s="2"/>
      <c r="H162" s="2"/>
      <c r="P162" s="3"/>
    </row>
    <row r="163" ht="12.75" customHeight="1">
      <c r="C163" s="1"/>
      <c r="D163" s="1"/>
      <c r="E163" s="1"/>
      <c r="F163" s="1"/>
      <c r="G163" s="2"/>
      <c r="H163" s="2"/>
      <c r="P163" s="3"/>
    </row>
    <row r="164" ht="12.75" customHeight="1">
      <c r="C164" s="1"/>
      <c r="D164" s="1"/>
      <c r="E164" s="1"/>
      <c r="F164" s="1"/>
      <c r="G164" s="2"/>
      <c r="H164" s="2"/>
      <c r="P164" s="3"/>
    </row>
    <row r="165" ht="12.75" customHeight="1">
      <c r="C165" s="1"/>
      <c r="D165" s="1"/>
      <c r="E165" s="1"/>
      <c r="F165" s="1"/>
      <c r="G165" s="2"/>
      <c r="H165" s="2"/>
      <c r="P165" s="3"/>
    </row>
    <row r="166" ht="12.75" customHeight="1">
      <c r="C166" s="1"/>
      <c r="D166" s="1"/>
      <c r="E166" s="1"/>
      <c r="F166" s="1"/>
      <c r="G166" s="2"/>
      <c r="H166" s="2"/>
      <c r="P166" s="3"/>
    </row>
    <row r="167" ht="12.75" customHeight="1">
      <c r="C167" s="1"/>
      <c r="D167" s="1"/>
      <c r="E167" s="1"/>
      <c r="F167" s="1"/>
      <c r="G167" s="2"/>
      <c r="H167" s="2"/>
      <c r="P167" s="3"/>
    </row>
    <row r="168" ht="12.75" customHeight="1">
      <c r="C168" s="1"/>
      <c r="D168" s="1"/>
      <c r="E168" s="1"/>
      <c r="F168" s="1"/>
      <c r="G168" s="2"/>
      <c r="H168" s="2"/>
      <c r="P168" s="3"/>
    </row>
    <row r="169" ht="12.75" customHeight="1">
      <c r="C169" s="1"/>
      <c r="D169" s="1"/>
      <c r="E169" s="1"/>
      <c r="F169" s="1"/>
      <c r="G169" s="2"/>
      <c r="H169" s="2"/>
      <c r="P169" s="3"/>
    </row>
    <row r="170" ht="12.75" customHeight="1">
      <c r="C170" s="1"/>
      <c r="D170" s="1"/>
      <c r="E170" s="1"/>
      <c r="F170" s="1"/>
      <c r="G170" s="2"/>
      <c r="H170" s="2"/>
      <c r="P170" s="3"/>
    </row>
    <row r="171" ht="12.75" customHeight="1">
      <c r="C171" s="1"/>
      <c r="D171" s="1"/>
      <c r="E171" s="1"/>
      <c r="F171" s="1"/>
      <c r="G171" s="2"/>
      <c r="H171" s="2"/>
      <c r="P171" s="3"/>
    </row>
    <row r="172" ht="12.75" customHeight="1">
      <c r="C172" s="1"/>
      <c r="D172" s="1"/>
      <c r="E172" s="1"/>
      <c r="F172" s="1"/>
      <c r="G172" s="2"/>
      <c r="H172" s="2"/>
      <c r="P172" s="3"/>
    </row>
    <row r="173" ht="12.75" customHeight="1">
      <c r="C173" s="1"/>
      <c r="D173" s="1"/>
      <c r="E173" s="1"/>
      <c r="F173" s="1"/>
      <c r="G173" s="2"/>
      <c r="H173" s="2"/>
      <c r="P173" s="3"/>
    </row>
    <row r="174" ht="12.75" customHeight="1">
      <c r="C174" s="1"/>
      <c r="D174" s="1"/>
      <c r="E174" s="1"/>
      <c r="F174" s="1"/>
      <c r="G174" s="2"/>
      <c r="H174" s="2"/>
      <c r="P174" s="3"/>
    </row>
    <row r="175" ht="12.75" customHeight="1">
      <c r="C175" s="1"/>
      <c r="D175" s="1"/>
      <c r="E175" s="1"/>
      <c r="F175" s="1"/>
      <c r="G175" s="2"/>
      <c r="H175" s="2"/>
      <c r="P175" s="3"/>
    </row>
    <row r="176" ht="12.75" customHeight="1">
      <c r="C176" s="1"/>
      <c r="D176" s="1"/>
      <c r="E176" s="1"/>
      <c r="F176" s="1"/>
      <c r="G176" s="2"/>
      <c r="H176" s="2"/>
      <c r="P176" s="3"/>
    </row>
    <row r="177" ht="12.75" customHeight="1">
      <c r="C177" s="1"/>
      <c r="D177" s="1"/>
      <c r="E177" s="1"/>
      <c r="F177" s="1"/>
      <c r="G177" s="2"/>
      <c r="H177" s="2"/>
      <c r="P177" s="3"/>
    </row>
    <row r="178" ht="12.75" customHeight="1">
      <c r="C178" s="1"/>
      <c r="D178" s="1"/>
      <c r="E178" s="1"/>
      <c r="F178" s="1"/>
      <c r="G178" s="2"/>
      <c r="H178" s="2"/>
      <c r="P178" s="3"/>
    </row>
    <row r="179" ht="12.75" customHeight="1">
      <c r="C179" s="1"/>
      <c r="D179" s="1"/>
      <c r="E179" s="1"/>
      <c r="F179" s="1"/>
      <c r="G179" s="2"/>
      <c r="H179" s="2"/>
      <c r="P179" s="3"/>
    </row>
    <row r="180" ht="15.75" customHeight="1">
      <c r="C180" s="1"/>
      <c r="D180" s="1"/>
      <c r="E180" s="1"/>
      <c r="F180" s="1"/>
      <c r="G180" s="2"/>
      <c r="H180" s="2"/>
      <c r="P180" s="3"/>
    </row>
    <row r="181" ht="15.75" customHeight="1">
      <c r="C181" s="1"/>
      <c r="D181" s="1"/>
      <c r="E181" s="1"/>
      <c r="F181" s="1"/>
      <c r="G181" s="2"/>
      <c r="H181" s="2"/>
      <c r="P181" s="3"/>
    </row>
    <row r="182" ht="15.75" customHeight="1">
      <c r="C182" s="1"/>
      <c r="D182" s="1"/>
      <c r="E182" s="1"/>
      <c r="F182" s="1"/>
      <c r="G182" s="2"/>
      <c r="H182" s="2"/>
      <c r="P182" s="3"/>
    </row>
    <row r="183" ht="15.75" customHeight="1">
      <c r="C183" s="1"/>
      <c r="D183" s="1"/>
      <c r="E183" s="1"/>
      <c r="F183" s="1"/>
      <c r="G183" s="2"/>
      <c r="H183" s="2"/>
      <c r="P183" s="3"/>
    </row>
    <row r="184" ht="15.75" customHeight="1">
      <c r="C184" s="1"/>
      <c r="D184" s="1"/>
      <c r="E184" s="1"/>
      <c r="F184" s="1"/>
      <c r="G184" s="2"/>
      <c r="H184" s="2"/>
      <c r="P184" s="3"/>
    </row>
    <row r="185" ht="15.75" customHeight="1">
      <c r="C185" s="1"/>
      <c r="D185" s="1"/>
      <c r="E185" s="1"/>
      <c r="F185" s="1"/>
      <c r="G185" s="2"/>
      <c r="H185" s="2"/>
      <c r="P185" s="3"/>
    </row>
    <row r="186" ht="15.75" customHeight="1">
      <c r="C186" s="1"/>
      <c r="D186" s="1"/>
      <c r="E186" s="1"/>
      <c r="F186" s="1"/>
      <c r="G186" s="2"/>
      <c r="H186" s="2"/>
      <c r="P186" s="3"/>
    </row>
    <row r="187" ht="15.75" customHeight="1">
      <c r="C187" s="1"/>
      <c r="D187" s="1"/>
      <c r="E187" s="1"/>
      <c r="F187" s="1"/>
      <c r="G187" s="2"/>
      <c r="H187" s="2"/>
      <c r="P187" s="3"/>
    </row>
    <row r="188" ht="15.75" customHeight="1">
      <c r="C188" s="1"/>
      <c r="D188" s="1"/>
      <c r="E188" s="1"/>
      <c r="F188" s="1"/>
      <c r="G188" s="2"/>
      <c r="H188" s="2"/>
      <c r="P188" s="3"/>
    </row>
    <row r="189" ht="15.75" customHeight="1">
      <c r="C189" s="1"/>
      <c r="D189" s="1"/>
      <c r="E189" s="1"/>
      <c r="F189" s="1"/>
      <c r="G189" s="2"/>
      <c r="H189" s="2"/>
      <c r="P189" s="3"/>
    </row>
    <row r="190" ht="15.75" customHeight="1">
      <c r="C190" s="1"/>
      <c r="D190" s="1"/>
      <c r="E190" s="1"/>
      <c r="F190" s="1"/>
      <c r="G190" s="2"/>
      <c r="H190" s="2"/>
      <c r="P190" s="3"/>
    </row>
    <row r="191" ht="15.75" customHeight="1">
      <c r="C191" s="1"/>
      <c r="D191" s="1"/>
      <c r="E191" s="1"/>
      <c r="F191" s="1"/>
      <c r="G191" s="2"/>
      <c r="H191" s="2"/>
      <c r="P191" s="3"/>
    </row>
    <row r="192" ht="15.75" customHeight="1">
      <c r="C192" s="1"/>
      <c r="D192" s="1"/>
      <c r="E192" s="1"/>
      <c r="F192" s="1"/>
      <c r="G192" s="2"/>
      <c r="H192" s="2"/>
      <c r="P192" s="3"/>
    </row>
    <row r="193" ht="15.75" customHeight="1">
      <c r="C193" s="1"/>
      <c r="D193" s="1"/>
      <c r="E193" s="1"/>
      <c r="F193" s="1"/>
      <c r="G193" s="2"/>
      <c r="H193" s="2"/>
      <c r="P193" s="3"/>
    </row>
    <row r="194" ht="15.75" customHeight="1">
      <c r="C194" s="1"/>
      <c r="D194" s="1"/>
      <c r="E194" s="1"/>
      <c r="F194" s="1"/>
      <c r="G194" s="2"/>
      <c r="H194" s="2"/>
      <c r="P194" s="3"/>
    </row>
    <row r="195" ht="15.75" customHeight="1">
      <c r="C195" s="1"/>
      <c r="D195" s="1"/>
      <c r="E195" s="1"/>
      <c r="F195" s="1"/>
      <c r="G195" s="2"/>
      <c r="H195" s="2"/>
      <c r="P195" s="3"/>
    </row>
    <row r="196" ht="15.75" customHeight="1">
      <c r="C196" s="1"/>
      <c r="D196" s="1"/>
      <c r="E196" s="1"/>
      <c r="F196" s="1"/>
      <c r="G196" s="2"/>
      <c r="H196" s="2"/>
      <c r="P196" s="3"/>
    </row>
    <row r="197" ht="15.75" customHeight="1">
      <c r="C197" s="1"/>
      <c r="D197" s="1"/>
      <c r="E197" s="1"/>
      <c r="F197" s="1"/>
      <c r="G197" s="2"/>
      <c r="H197" s="2"/>
      <c r="P197" s="3"/>
    </row>
    <row r="198" ht="15.75" customHeight="1">
      <c r="C198" s="1"/>
      <c r="D198" s="1"/>
      <c r="E198" s="1"/>
      <c r="F198" s="1"/>
      <c r="G198" s="2"/>
      <c r="H198" s="2"/>
      <c r="P198" s="3"/>
    </row>
    <row r="199" ht="15.75" customHeight="1">
      <c r="C199" s="1"/>
      <c r="D199" s="1"/>
      <c r="E199" s="1"/>
      <c r="F199" s="1"/>
      <c r="G199" s="2"/>
      <c r="H199" s="2"/>
      <c r="P199" s="3"/>
    </row>
    <row r="200" ht="15.75" customHeight="1">
      <c r="C200" s="1"/>
      <c r="D200" s="1"/>
      <c r="E200" s="1"/>
      <c r="F200" s="1"/>
      <c r="G200" s="2"/>
      <c r="H200" s="2"/>
      <c r="P200" s="3"/>
    </row>
    <row r="201" ht="15.75" customHeight="1">
      <c r="C201" s="1"/>
      <c r="D201" s="1"/>
      <c r="E201" s="1"/>
      <c r="F201" s="1"/>
      <c r="G201" s="2"/>
      <c r="H201" s="2"/>
      <c r="P201" s="3"/>
    </row>
    <row r="202" ht="15.75" customHeight="1">
      <c r="C202" s="1"/>
      <c r="D202" s="1"/>
      <c r="E202" s="1"/>
      <c r="F202" s="1"/>
      <c r="G202" s="2"/>
      <c r="H202" s="2"/>
      <c r="P202" s="3"/>
    </row>
    <row r="203" ht="15.75" customHeight="1">
      <c r="C203" s="1"/>
      <c r="D203" s="1"/>
      <c r="E203" s="1"/>
      <c r="F203" s="1"/>
      <c r="G203" s="2"/>
      <c r="H203" s="2"/>
      <c r="P203" s="3"/>
    </row>
    <row r="204" ht="15.75" customHeight="1">
      <c r="C204" s="1"/>
      <c r="D204" s="1"/>
      <c r="E204" s="1"/>
      <c r="F204" s="1"/>
      <c r="G204" s="2"/>
      <c r="H204" s="2"/>
      <c r="P204" s="3"/>
    </row>
    <row r="205" ht="15.75" customHeight="1">
      <c r="C205" s="1"/>
      <c r="D205" s="1"/>
      <c r="E205" s="1"/>
      <c r="F205" s="1"/>
      <c r="G205" s="2"/>
      <c r="H205" s="2"/>
      <c r="P205" s="3"/>
    </row>
    <row r="206" ht="15.75" customHeight="1">
      <c r="C206" s="1"/>
      <c r="D206" s="1"/>
      <c r="E206" s="1"/>
      <c r="F206" s="1"/>
      <c r="G206" s="2"/>
      <c r="H206" s="2"/>
      <c r="P206" s="3"/>
    </row>
    <row r="207" ht="15.75" customHeight="1">
      <c r="C207" s="1"/>
      <c r="D207" s="1"/>
      <c r="E207" s="1"/>
      <c r="F207" s="1"/>
      <c r="G207" s="2"/>
      <c r="H207" s="2"/>
      <c r="P207" s="3"/>
    </row>
    <row r="208" ht="15.75" customHeight="1">
      <c r="C208" s="1"/>
      <c r="D208" s="1"/>
      <c r="E208" s="1"/>
      <c r="F208" s="1"/>
      <c r="G208" s="2"/>
      <c r="H208" s="2"/>
      <c r="P208" s="3"/>
    </row>
    <row r="209" ht="15.75" customHeight="1">
      <c r="C209" s="1"/>
      <c r="D209" s="1"/>
      <c r="E209" s="1"/>
      <c r="F209" s="1"/>
      <c r="G209" s="2"/>
      <c r="H209" s="2"/>
      <c r="P209" s="3"/>
    </row>
    <row r="210" ht="15.75" customHeight="1">
      <c r="C210" s="1"/>
      <c r="D210" s="1"/>
      <c r="E210" s="1"/>
      <c r="F210" s="1"/>
      <c r="G210" s="2"/>
      <c r="H210" s="2"/>
      <c r="P210" s="3"/>
    </row>
    <row r="211" ht="15.75" customHeight="1">
      <c r="C211" s="1"/>
      <c r="D211" s="1"/>
      <c r="E211" s="1"/>
      <c r="F211" s="1"/>
      <c r="G211" s="2"/>
      <c r="H211" s="2"/>
      <c r="P211" s="3"/>
    </row>
    <row r="212" ht="15.75" customHeight="1">
      <c r="C212" s="1"/>
      <c r="D212" s="1"/>
      <c r="E212" s="1"/>
      <c r="F212" s="1"/>
      <c r="G212" s="2"/>
      <c r="H212" s="2"/>
      <c r="P212" s="3"/>
    </row>
    <row r="213" ht="15.75" customHeight="1">
      <c r="C213" s="1"/>
      <c r="D213" s="1"/>
      <c r="E213" s="1"/>
      <c r="F213" s="1"/>
      <c r="G213" s="2"/>
      <c r="H213" s="2"/>
      <c r="P213" s="3"/>
    </row>
    <row r="214" ht="15.75" customHeight="1">
      <c r="C214" s="1"/>
      <c r="D214" s="1"/>
      <c r="E214" s="1"/>
      <c r="F214" s="1"/>
      <c r="G214" s="2"/>
      <c r="H214" s="2"/>
      <c r="P214" s="3"/>
    </row>
    <row r="215" ht="15.75" customHeight="1">
      <c r="C215" s="1"/>
      <c r="D215" s="1"/>
      <c r="E215" s="1"/>
      <c r="F215" s="1"/>
      <c r="G215" s="2"/>
      <c r="H215" s="2"/>
      <c r="P215" s="3"/>
    </row>
    <row r="216" ht="15.75" customHeight="1">
      <c r="C216" s="1"/>
      <c r="D216" s="1"/>
      <c r="E216" s="1"/>
      <c r="F216" s="1"/>
      <c r="G216" s="2"/>
      <c r="H216" s="2"/>
      <c r="P216" s="3"/>
    </row>
    <row r="217" ht="15.75" customHeight="1">
      <c r="C217" s="1"/>
      <c r="D217" s="1"/>
      <c r="E217" s="1"/>
      <c r="F217" s="1"/>
      <c r="G217" s="2"/>
      <c r="H217" s="2"/>
      <c r="P217" s="3"/>
    </row>
    <row r="218" ht="15.75" customHeight="1">
      <c r="C218" s="1"/>
      <c r="D218" s="1"/>
      <c r="E218" s="1"/>
      <c r="F218" s="1"/>
      <c r="G218" s="2"/>
      <c r="H218" s="2"/>
      <c r="P218" s="3"/>
    </row>
    <row r="219" ht="15.75" customHeight="1">
      <c r="C219" s="1"/>
      <c r="D219" s="1"/>
      <c r="E219" s="1"/>
      <c r="F219" s="1"/>
      <c r="G219" s="2"/>
      <c r="H219" s="2"/>
      <c r="P219" s="3"/>
    </row>
    <row r="220" ht="15.75" customHeight="1">
      <c r="C220" s="1"/>
      <c r="D220" s="1"/>
      <c r="E220" s="1"/>
      <c r="F220" s="1"/>
      <c r="G220" s="2"/>
      <c r="H220" s="2"/>
      <c r="P220" s="3"/>
    </row>
    <row r="221" ht="15.75" customHeight="1">
      <c r="C221" s="1"/>
      <c r="D221" s="1"/>
      <c r="E221" s="1"/>
      <c r="F221" s="1"/>
      <c r="G221" s="2"/>
      <c r="H221" s="2"/>
      <c r="P221" s="3"/>
    </row>
    <row r="222" ht="15.75" customHeight="1">
      <c r="C222" s="1"/>
      <c r="D222" s="1"/>
      <c r="E222" s="1"/>
      <c r="F222" s="1"/>
      <c r="G222" s="2"/>
      <c r="H222" s="2"/>
      <c r="P222" s="3"/>
    </row>
    <row r="223" ht="15.75" customHeight="1">
      <c r="C223" s="1"/>
      <c r="D223" s="1"/>
      <c r="E223" s="1"/>
      <c r="F223" s="1"/>
      <c r="G223" s="2"/>
      <c r="H223" s="2"/>
      <c r="P223" s="3"/>
    </row>
    <row r="224" ht="15.75" customHeight="1">
      <c r="C224" s="1"/>
      <c r="D224" s="1"/>
      <c r="E224" s="1"/>
      <c r="F224" s="1"/>
      <c r="G224" s="2"/>
      <c r="H224" s="2"/>
      <c r="P224" s="3"/>
    </row>
    <row r="225" ht="15.75" customHeight="1">
      <c r="C225" s="1"/>
      <c r="D225" s="1"/>
      <c r="E225" s="1"/>
      <c r="F225" s="1"/>
      <c r="G225" s="2"/>
      <c r="H225" s="2"/>
      <c r="P225" s="3"/>
    </row>
    <row r="226" ht="15.75" customHeight="1">
      <c r="C226" s="1"/>
      <c r="D226" s="1"/>
      <c r="E226" s="1"/>
      <c r="F226" s="1"/>
      <c r="G226" s="2"/>
      <c r="H226" s="2"/>
      <c r="P226" s="3"/>
    </row>
    <row r="227" ht="15.75" customHeight="1">
      <c r="C227" s="1"/>
      <c r="D227" s="1"/>
      <c r="E227" s="1"/>
      <c r="F227" s="1"/>
      <c r="G227" s="2"/>
      <c r="H227" s="2"/>
      <c r="P227" s="3"/>
    </row>
    <row r="228" ht="15.75" customHeight="1">
      <c r="C228" s="1"/>
      <c r="D228" s="1"/>
      <c r="E228" s="1"/>
      <c r="F228" s="1"/>
      <c r="G228" s="2"/>
      <c r="H228" s="2"/>
      <c r="P228" s="3"/>
    </row>
    <row r="229" ht="15.75" customHeight="1">
      <c r="C229" s="1"/>
      <c r="D229" s="1"/>
      <c r="E229" s="1"/>
      <c r="F229" s="1"/>
      <c r="G229" s="2"/>
      <c r="H229" s="2"/>
      <c r="P229" s="3"/>
    </row>
    <row r="230" ht="15.75" customHeight="1">
      <c r="C230" s="1"/>
      <c r="D230" s="1"/>
      <c r="E230" s="1"/>
      <c r="F230" s="1"/>
      <c r="G230" s="2"/>
      <c r="H230" s="2"/>
      <c r="P230" s="3"/>
    </row>
    <row r="231" ht="15.75" customHeight="1">
      <c r="C231" s="1"/>
      <c r="D231" s="1"/>
      <c r="E231" s="1"/>
      <c r="F231" s="1"/>
      <c r="G231" s="2"/>
      <c r="H231" s="2"/>
      <c r="P231" s="3"/>
    </row>
    <row r="232" ht="15.75" customHeight="1">
      <c r="C232" s="1"/>
      <c r="D232" s="1"/>
      <c r="E232" s="1"/>
      <c r="F232" s="1"/>
      <c r="G232" s="2"/>
      <c r="H232" s="2"/>
      <c r="P232" s="3"/>
    </row>
    <row r="233" ht="15.75" customHeight="1">
      <c r="C233" s="1"/>
      <c r="D233" s="1"/>
      <c r="E233" s="1"/>
      <c r="F233" s="1"/>
      <c r="G233" s="2"/>
      <c r="H233" s="2"/>
      <c r="P233" s="3"/>
    </row>
    <row r="234" ht="15.75" customHeight="1">
      <c r="C234" s="1"/>
      <c r="D234" s="1"/>
      <c r="E234" s="1"/>
      <c r="F234" s="1"/>
      <c r="G234" s="2"/>
      <c r="H234" s="2"/>
      <c r="P234" s="3"/>
    </row>
    <row r="235" ht="15.75" customHeight="1">
      <c r="C235" s="1"/>
      <c r="D235" s="1"/>
      <c r="E235" s="1"/>
      <c r="F235" s="1"/>
      <c r="G235" s="2"/>
      <c r="H235" s="2"/>
      <c r="P235" s="3"/>
    </row>
    <row r="236" ht="15.75" customHeight="1">
      <c r="C236" s="1"/>
      <c r="D236" s="1"/>
      <c r="E236" s="1"/>
      <c r="F236" s="1"/>
      <c r="G236" s="2"/>
      <c r="H236" s="2"/>
      <c r="P236" s="3"/>
    </row>
    <row r="237" ht="15.75" customHeight="1">
      <c r="C237" s="1"/>
      <c r="D237" s="1"/>
      <c r="E237" s="1"/>
      <c r="F237" s="1"/>
      <c r="G237" s="2"/>
      <c r="H237" s="2"/>
      <c r="P237" s="3"/>
    </row>
    <row r="238" ht="15.75" customHeight="1">
      <c r="C238" s="1"/>
      <c r="D238" s="1"/>
      <c r="E238" s="1"/>
      <c r="F238" s="1"/>
      <c r="G238" s="2"/>
      <c r="H238" s="2"/>
      <c r="P238" s="3"/>
    </row>
    <row r="239" ht="15.75" customHeight="1">
      <c r="C239" s="1"/>
      <c r="D239" s="1"/>
      <c r="E239" s="1"/>
      <c r="F239" s="1"/>
      <c r="G239" s="2"/>
      <c r="H239" s="2"/>
      <c r="P239" s="3"/>
    </row>
    <row r="240" ht="15.75" customHeight="1">
      <c r="C240" s="1"/>
      <c r="D240" s="1"/>
      <c r="E240" s="1"/>
      <c r="F240" s="1"/>
      <c r="G240" s="2"/>
      <c r="H240" s="2"/>
      <c r="P240" s="3"/>
    </row>
    <row r="241" ht="15.75" customHeight="1">
      <c r="C241" s="1"/>
      <c r="D241" s="1"/>
      <c r="E241" s="1"/>
      <c r="F241" s="1"/>
      <c r="G241" s="2"/>
      <c r="H241" s="2"/>
      <c r="P241" s="3"/>
    </row>
    <row r="242" ht="15.75" customHeight="1">
      <c r="C242" s="1"/>
      <c r="D242" s="1"/>
      <c r="E242" s="1"/>
      <c r="F242" s="1"/>
      <c r="G242" s="2"/>
      <c r="H242" s="2"/>
      <c r="P242" s="3"/>
    </row>
    <row r="243" ht="15.75" customHeight="1">
      <c r="C243" s="1"/>
      <c r="D243" s="1"/>
      <c r="E243" s="1"/>
      <c r="F243" s="1"/>
      <c r="G243" s="2"/>
      <c r="H243" s="2"/>
      <c r="P243" s="3"/>
    </row>
    <row r="244" ht="15.75" customHeight="1">
      <c r="C244" s="1"/>
      <c r="D244" s="1"/>
      <c r="E244" s="1"/>
      <c r="F244" s="1"/>
      <c r="G244" s="2"/>
      <c r="H244" s="2"/>
      <c r="P244" s="3"/>
    </row>
    <row r="245" ht="15.75" customHeight="1">
      <c r="C245" s="1"/>
      <c r="D245" s="1"/>
      <c r="E245" s="1"/>
      <c r="F245" s="1"/>
      <c r="G245" s="2"/>
      <c r="H245" s="2"/>
      <c r="P245" s="3"/>
    </row>
    <row r="246" ht="15.75" customHeight="1">
      <c r="C246" s="1"/>
      <c r="D246" s="1"/>
      <c r="E246" s="1"/>
      <c r="F246" s="1"/>
      <c r="G246" s="2"/>
      <c r="H246" s="2"/>
      <c r="P246" s="3"/>
    </row>
    <row r="247" ht="15.75" customHeight="1">
      <c r="C247" s="1"/>
      <c r="D247" s="1"/>
      <c r="E247" s="1"/>
      <c r="F247" s="1"/>
      <c r="G247" s="2"/>
      <c r="H247" s="2"/>
      <c r="P247" s="3"/>
    </row>
    <row r="248" ht="15.75" customHeight="1">
      <c r="C248" s="1"/>
      <c r="D248" s="1"/>
      <c r="E248" s="1"/>
      <c r="F248" s="1"/>
      <c r="G248" s="2"/>
      <c r="H248" s="2"/>
      <c r="P248" s="3"/>
    </row>
    <row r="249" ht="15.75" customHeight="1">
      <c r="C249" s="1"/>
      <c r="D249" s="1"/>
      <c r="E249" s="1"/>
      <c r="F249" s="1"/>
      <c r="G249" s="2"/>
      <c r="H249" s="2"/>
      <c r="P249" s="3"/>
    </row>
    <row r="250" ht="15.75" customHeight="1">
      <c r="C250" s="1"/>
      <c r="D250" s="1"/>
      <c r="E250" s="1"/>
      <c r="F250" s="1"/>
      <c r="G250" s="2"/>
      <c r="H250" s="2"/>
      <c r="P250" s="3"/>
    </row>
    <row r="251" ht="15.75" customHeight="1">
      <c r="C251" s="1"/>
      <c r="D251" s="1"/>
      <c r="E251" s="1"/>
      <c r="F251" s="1"/>
      <c r="G251" s="2"/>
      <c r="H251" s="2"/>
      <c r="P251" s="3"/>
    </row>
    <row r="252" ht="15.75" customHeight="1">
      <c r="C252" s="1"/>
      <c r="D252" s="1"/>
      <c r="E252" s="1"/>
      <c r="F252" s="1"/>
      <c r="G252" s="2"/>
      <c r="H252" s="2"/>
      <c r="P252" s="3"/>
    </row>
    <row r="253" ht="15.75" customHeight="1">
      <c r="C253" s="1"/>
      <c r="D253" s="1"/>
      <c r="E253" s="1"/>
      <c r="F253" s="1"/>
      <c r="G253" s="2"/>
      <c r="H253" s="2"/>
      <c r="P253" s="3"/>
    </row>
    <row r="254" ht="15.75" customHeight="1">
      <c r="C254" s="1"/>
      <c r="D254" s="1"/>
      <c r="E254" s="1"/>
      <c r="F254" s="1"/>
      <c r="G254" s="2"/>
      <c r="H254" s="2"/>
      <c r="P254" s="3"/>
    </row>
    <row r="255" ht="15.75" customHeight="1">
      <c r="C255" s="1"/>
      <c r="D255" s="1"/>
      <c r="E255" s="1"/>
      <c r="F255" s="1"/>
      <c r="G255" s="2"/>
      <c r="H255" s="2"/>
      <c r="P255" s="3"/>
    </row>
    <row r="256" ht="15.75" customHeight="1">
      <c r="C256" s="1"/>
      <c r="D256" s="1"/>
      <c r="E256" s="1"/>
      <c r="F256" s="1"/>
      <c r="G256" s="2"/>
      <c r="H256" s="2"/>
      <c r="P256" s="3"/>
    </row>
    <row r="257" ht="15.75" customHeight="1">
      <c r="C257" s="1"/>
      <c r="D257" s="1"/>
      <c r="E257" s="1"/>
      <c r="F257" s="1"/>
      <c r="G257" s="2"/>
      <c r="H257" s="2"/>
      <c r="P257" s="3"/>
    </row>
    <row r="258" ht="15.75" customHeight="1">
      <c r="C258" s="1"/>
      <c r="D258" s="1"/>
      <c r="E258" s="1"/>
      <c r="F258" s="1"/>
      <c r="G258" s="2"/>
      <c r="H258" s="2"/>
      <c r="P258" s="3"/>
    </row>
    <row r="259" ht="15.75" customHeight="1">
      <c r="C259" s="1"/>
      <c r="D259" s="1"/>
      <c r="E259" s="1"/>
      <c r="F259" s="1"/>
      <c r="G259" s="2"/>
      <c r="H259" s="2"/>
      <c r="P259" s="3"/>
    </row>
    <row r="260" ht="15.75" customHeight="1">
      <c r="C260" s="1"/>
      <c r="D260" s="1"/>
      <c r="E260" s="1"/>
      <c r="F260" s="1"/>
      <c r="G260" s="2"/>
      <c r="H260" s="2"/>
      <c r="P260" s="3"/>
    </row>
    <row r="261" ht="15.75" customHeight="1">
      <c r="C261" s="1"/>
      <c r="D261" s="1"/>
      <c r="E261" s="1"/>
      <c r="F261" s="1"/>
      <c r="G261" s="2"/>
      <c r="H261" s="2"/>
      <c r="P261" s="3"/>
    </row>
    <row r="262" ht="15.75" customHeight="1">
      <c r="C262" s="1"/>
      <c r="D262" s="1"/>
      <c r="E262" s="1"/>
      <c r="F262" s="1"/>
      <c r="G262" s="2"/>
      <c r="H262" s="2"/>
      <c r="P262" s="3"/>
    </row>
    <row r="263" ht="15.75" customHeight="1">
      <c r="C263" s="1"/>
      <c r="D263" s="1"/>
      <c r="E263" s="1"/>
      <c r="F263" s="1"/>
      <c r="G263" s="2"/>
      <c r="H263" s="2"/>
      <c r="P263" s="3"/>
    </row>
    <row r="264" ht="15.75" customHeight="1">
      <c r="C264" s="1"/>
      <c r="D264" s="1"/>
      <c r="E264" s="1"/>
      <c r="F264" s="1"/>
      <c r="G264" s="2"/>
      <c r="H264" s="2"/>
      <c r="P264" s="3"/>
    </row>
    <row r="265" ht="15.75" customHeight="1">
      <c r="C265" s="1"/>
      <c r="D265" s="1"/>
      <c r="E265" s="1"/>
      <c r="F265" s="1"/>
      <c r="G265" s="2"/>
      <c r="H265" s="2"/>
      <c r="P265" s="3"/>
    </row>
    <row r="266" ht="15.75" customHeight="1">
      <c r="C266" s="1"/>
      <c r="D266" s="1"/>
      <c r="E266" s="1"/>
      <c r="F266" s="1"/>
      <c r="G266" s="2"/>
      <c r="H266" s="2"/>
      <c r="P266" s="3"/>
    </row>
    <row r="267" ht="15.75" customHeight="1">
      <c r="C267" s="1"/>
      <c r="D267" s="1"/>
      <c r="E267" s="1"/>
      <c r="F267" s="1"/>
      <c r="G267" s="2"/>
      <c r="H267" s="2"/>
      <c r="P267" s="3"/>
    </row>
    <row r="268" ht="15.75" customHeight="1">
      <c r="C268" s="1"/>
      <c r="D268" s="1"/>
      <c r="E268" s="1"/>
      <c r="F268" s="1"/>
      <c r="G268" s="2"/>
      <c r="H268" s="2"/>
      <c r="P268" s="3"/>
    </row>
    <row r="269" ht="15.75" customHeight="1">
      <c r="C269" s="1"/>
      <c r="D269" s="1"/>
      <c r="E269" s="1"/>
      <c r="F269" s="1"/>
      <c r="G269" s="2"/>
      <c r="H269" s="2"/>
      <c r="P269" s="3"/>
    </row>
    <row r="270" ht="15.75" customHeight="1">
      <c r="C270" s="1"/>
      <c r="D270" s="1"/>
      <c r="E270" s="1"/>
      <c r="F270" s="1"/>
      <c r="G270" s="2"/>
      <c r="H270" s="2"/>
      <c r="P270" s="3"/>
    </row>
    <row r="271" ht="15.75" customHeight="1">
      <c r="C271" s="1"/>
      <c r="D271" s="1"/>
      <c r="E271" s="1"/>
      <c r="F271" s="1"/>
      <c r="G271" s="2"/>
      <c r="H271" s="2"/>
      <c r="P271" s="3"/>
    </row>
    <row r="272" ht="15.75" customHeight="1">
      <c r="C272" s="1"/>
      <c r="D272" s="1"/>
      <c r="E272" s="1"/>
      <c r="F272" s="1"/>
      <c r="G272" s="2"/>
      <c r="H272" s="2"/>
      <c r="P272" s="3"/>
    </row>
    <row r="273" ht="15.75" customHeight="1">
      <c r="C273" s="1"/>
      <c r="D273" s="1"/>
      <c r="E273" s="1"/>
      <c r="F273" s="1"/>
      <c r="G273" s="2"/>
      <c r="H273" s="2"/>
      <c r="P273" s="3"/>
    </row>
    <row r="274" ht="15.75" customHeight="1">
      <c r="C274" s="1"/>
      <c r="D274" s="1"/>
      <c r="E274" s="1"/>
      <c r="F274" s="1"/>
      <c r="G274" s="2"/>
      <c r="H274" s="2"/>
      <c r="P274" s="3"/>
    </row>
    <row r="275" ht="15.75" customHeight="1">
      <c r="C275" s="1"/>
      <c r="D275" s="1"/>
      <c r="E275" s="1"/>
      <c r="F275" s="1"/>
      <c r="G275" s="2"/>
      <c r="H275" s="2"/>
      <c r="P275" s="3"/>
    </row>
    <row r="276" ht="15.75" customHeight="1">
      <c r="C276" s="1"/>
      <c r="D276" s="1"/>
      <c r="E276" s="1"/>
      <c r="F276" s="1"/>
      <c r="G276" s="2"/>
      <c r="H276" s="2"/>
      <c r="P276" s="3"/>
    </row>
    <row r="277" ht="15.75" customHeight="1">
      <c r="C277" s="1"/>
      <c r="D277" s="1"/>
      <c r="E277" s="1"/>
      <c r="F277" s="1"/>
      <c r="G277" s="2"/>
      <c r="H277" s="2"/>
      <c r="P277" s="3"/>
    </row>
    <row r="278" ht="15.75" customHeight="1">
      <c r="C278" s="1"/>
      <c r="D278" s="1"/>
      <c r="E278" s="1"/>
      <c r="F278" s="1"/>
      <c r="G278" s="2"/>
      <c r="H278" s="2"/>
      <c r="P278" s="3"/>
    </row>
    <row r="279" ht="15.75" customHeight="1">
      <c r="C279" s="1"/>
      <c r="D279" s="1"/>
      <c r="E279" s="1"/>
      <c r="F279" s="1"/>
      <c r="G279" s="2"/>
      <c r="H279" s="2"/>
      <c r="P279" s="3"/>
    </row>
    <row r="280" ht="15.75" customHeight="1">
      <c r="C280" s="1"/>
      <c r="D280" s="1"/>
      <c r="E280" s="1"/>
      <c r="F280" s="1"/>
      <c r="G280" s="2"/>
      <c r="H280" s="2"/>
      <c r="P280" s="3"/>
    </row>
    <row r="281" ht="15.75" customHeight="1">
      <c r="C281" s="1"/>
      <c r="D281" s="1"/>
      <c r="E281" s="1"/>
      <c r="F281" s="1"/>
      <c r="G281" s="2"/>
      <c r="H281" s="2"/>
      <c r="P281" s="3"/>
    </row>
    <row r="282" ht="15.75" customHeight="1">
      <c r="C282" s="1"/>
      <c r="D282" s="1"/>
      <c r="E282" s="1"/>
      <c r="F282" s="1"/>
      <c r="G282" s="2"/>
      <c r="H282" s="2"/>
      <c r="P282" s="3"/>
    </row>
    <row r="283" ht="15.75" customHeight="1">
      <c r="C283" s="1"/>
      <c r="D283" s="1"/>
      <c r="E283" s="1"/>
      <c r="F283" s="1"/>
      <c r="G283" s="2"/>
      <c r="H283" s="2"/>
      <c r="P283" s="3"/>
    </row>
    <row r="284" ht="15.75" customHeight="1">
      <c r="C284" s="1"/>
      <c r="D284" s="1"/>
      <c r="E284" s="1"/>
      <c r="F284" s="1"/>
      <c r="G284" s="2"/>
      <c r="H284" s="2"/>
      <c r="P284" s="3"/>
    </row>
    <row r="285" ht="15.75" customHeight="1">
      <c r="C285" s="1"/>
      <c r="D285" s="1"/>
      <c r="E285" s="1"/>
      <c r="F285" s="1"/>
      <c r="G285" s="2"/>
      <c r="H285" s="2"/>
      <c r="P285" s="3"/>
    </row>
    <row r="286" ht="15.75" customHeight="1">
      <c r="C286" s="1"/>
      <c r="D286" s="1"/>
      <c r="E286" s="1"/>
      <c r="F286" s="1"/>
      <c r="G286" s="2"/>
      <c r="H286" s="2"/>
      <c r="P286" s="3"/>
    </row>
    <row r="287" ht="15.75" customHeight="1">
      <c r="C287" s="1"/>
      <c r="D287" s="1"/>
      <c r="E287" s="1"/>
      <c r="F287" s="1"/>
      <c r="G287" s="2"/>
      <c r="H287" s="2"/>
      <c r="P287" s="3"/>
    </row>
    <row r="288" ht="15.75" customHeight="1">
      <c r="C288" s="1"/>
      <c r="D288" s="1"/>
      <c r="E288" s="1"/>
      <c r="F288" s="1"/>
      <c r="G288" s="2"/>
      <c r="H288" s="2"/>
      <c r="P288" s="3"/>
    </row>
    <row r="289" ht="15.75" customHeight="1">
      <c r="C289" s="1"/>
      <c r="D289" s="1"/>
      <c r="E289" s="1"/>
      <c r="F289" s="1"/>
      <c r="G289" s="2"/>
      <c r="H289" s="2"/>
      <c r="P289" s="3"/>
    </row>
    <row r="290" ht="15.75" customHeight="1">
      <c r="C290" s="1"/>
      <c r="D290" s="1"/>
      <c r="E290" s="1"/>
      <c r="F290" s="1"/>
      <c r="G290" s="2"/>
      <c r="H290" s="2"/>
      <c r="P290" s="3"/>
    </row>
    <row r="291" ht="15.75" customHeight="1">
      <c r="C291" s="1"/>
      <c r="D291" s="1"/>
      <c r="E291" s="1"/>
      <c r="F291" s="1"/>
      <c r="G291" s="2"/>
      <c r="H291" s="2"/>
      <c r="P291" s="3"/>
    </row>
    <row r="292" ht="15.75" customHeight="1">
      <c r="C292" s="1"/>
      <c r="D292" s="1"/>
      <c r="E292" s="1"/>
      <c r="F292" s="1"/>
      <c r="G292" s="2"/>
      <c r="H292" s="2"/>
      <c r="P292" s="3"/>
    </row>
    <row r="293" ht="15.75" customHeight="1">
      <c r="C293" s="1"/>
      <c r="D293" s="1"/>
      <c r="E293" s="1"/>
      <c r="F293" s="1"/>
      <c r="G293" s="2"/>
      <c r="H293" s="2"/>
      <c r="P293" s="3"/>
    </row>
    <row r="294" ht="15.75" customHeight="1">
      <c r="C294" s="1"/>
      <c r="D294" s="1"/>
      <c r="E294" s="1"/>
      <c r="F294" s="1"/>
      <c r="G294" s="2"/>
      <c r="H294" s="2"/>
      <c r="P294" s="3"/>
    </row>
    <row r="295" ht="15.75" customHeight="1">
      <c r="C295" s="1"/>
      <c r="D295" s="1"/>
      <c r="E295" s="1"/>
      <c r="F295" s="1"/>
      <c r="G295" s="2"/>
      <c r="H295" s="2"/>
      <c r="P295" s="3"/>
    </row>
    <row r="296" ht="15.75" customHeight="1">
      <c r="C296" s="1"/>
      <c r="D296" s="1"/>
      <c r="E296" s="1"/>
      <c r="F296" s="1"/>
      <c r="G296" s="2"/>
      <c r="H296" s="2"/>
      <c r="P296" s="3"/>
    </row>
    <row r="297" ht="15.75" customHeight="1">
      <c r="C297" s="1"/>
      <c r="D297" s="1"/>
      <c r="E297" s="1"/>
      <c r="F297" s="1"/>
      <c r="G297" s="2"/>
      <c r="H297" s="2"/>
      <c r="P297" s="3"/>
    </row>
    <row r="298" ht="15.75" customHeight="1">
      <c r="C298" s="1"/>
      <c r="D298" s="1"/>
      <c r="E298" s="1"/>
      <c r="F298" s="1"/>
      <c r="G298" s="2"/>
      <c r="H298" s="2"/>
      <c r="P298" s="3"/>
    </row>
    <row r="299" ht="15.75" customHeight="1">
      <c r="C299" s="1"/>
      <c r="D299" s="1"/>
      <c r="E299" s="1"/>
      <c r="F299" s="1"/>
      <c r="G299" s="2"/>
      <c r="H299" s="2"/>
      <c r="P299" s="3"/>
    </row>
    <row r="300" ht="15.75" customHeight="1">
      <c r="C300" s="1"/>
      <c r="D300" s="1"/>
      <c r="E300" s="1"/>
      <c r="F300" s="1"/>
      <c r="G300" s="2"/>
      <c r="H300" s="2"/>
      <c r="P300" s="3"/>
    </row>
    <row r="301" ht="15.75" customHeight="1">
      <c r="C301" s="1"/>
      <c r="D301" s="1"/>
      <c r="E301" s="1"/>
      <c r="F301" s="1"/>
      <c r="G301" s="2"/>
      <c r="H301" s="2"/>
      <c r="P301" s="3"/>
    </row>
    <row r="302" ht="15.75" customHeight="1">
      <c r="C302" s="1"/>
      <c r="D302" s="1"/>
      <c r="E302" s="1"/>
      <c r="F302" s="1"/>
      <c r="G302" s="2"/>
      <c r="H302" s="2"/>
      <c r="P302" s="3"/>
    </row>
    <row r="303" ht="15.75" customHeight="1">
      <c r="C303" s="1"/>
      <c r="D303" s="1"/>
      <c r="E303" s="1"/>
      <c r="F303" s="1"/>
      <c r="G303" s="2"/>
      <c r="H303" s="2"/>
      <c r="P303" s="3"/>
    </row>
    <row r="304" ht="15.75" customHeight="1">
      <c r="C304" s="1"/>
      <c r="D304" s="1"/>
      <c r="E304" s="1"/>
      <c r="F304" s="1"/>
      <c r="G304" s="2"/>
      <c r="H304" s="2"/>
      <c r="P304" s="3"/>
    </row>
    <row r="305" ht="15.75" customHeight="1">
      <c r="C305" s="1"/>
      <c r="D305" s="1"/>
      <c r="E305" s="1"/>
      <c r="F305" s="1"/>
      <c r="G305" s="2"/>
      <c r="H305" s="2"/>
      <c r="P305" s="3"/>
    </row>
    <row r="306" ht="15.75" customHeight="1">
      <c r="C306" s="1"/>
      <c r="D306" s="1"/>
      <c r="E306" s="1"/>
      <c r="F306" s="1"/>
      <c r="G306" s="2"/>
      <c r="H306" s="2"/>
      <c r="P306" s="3"/>
    </row>
    <row r="307" ht="15.75" customHeight="1">
      <c r="C307" s="1"/>
      <c r="D307" s="1"/>
      <c r="E307" s="1"/>
      <c r="F307" s="1"/>
      <c r="G307" s="2"/>
      <c r="H307" s="2"/>
      <c r="P307" s="3"/>
    </row>
    <row r="308" ht="15.75" customHeight="1">
      <c r="C308" s="1"/>
      <c r="D308" s="1"/>
      <c r="E308" s="1"/>
      <c r="F308" s="1"/>
      <c r="G308" s="2"/>
      <c r="H308" s="2"/>
      <c r="P308" s="3"/>
    </row>
    <row r="309" ht="15.75" customHeight="1">
      <c r="C309" s="1"/>
      <c r="D309" s="1"/>
      <c r="E309" s="1"/>
      <c r="F309" s="1"/>
      <c r="G309" s="2"/>
      <c r="H309" s="2"/>
      <c r="P309" s="3"/>
    </row>
    <row r="310" ht="15.75" customHeight="1">
      <c r="C310" s="1"/>
      <c r="D310" s="1"/>
      <c r="E310" s="1"/>
      <c r="F310" s="1"/>
      <c r="G310" s="2"/>
      <c r="H310" s="2"/>
      <c r="P310" s="3"/>
    </row>
    <row r="311" ht="15.75" customHeight="1">
      <c r="C311" s="1"/>
      <c r="D311" s="1"/>
      <c r="E311" s="1"/>
      <c r="F311" s="1"/>
      <c r="G311" s="2"/>
      <c r="H311" s="2"/>
      <c r="P311" s="3"/>
    </row>
    <row r="312" ht="15.75" customHeight="1">
      <c r="C312" s="1"/>
      <c r="D312" s="1"/>
      <c r="E312" s="1"/>
      <c r="F312" s="1"/>
      <c r="G312" s="2"/>
      <c r="H312" s="2"/>
      <c r="P312" s="3"/>
    </row>
    <row r="313" ht="15.75" customHeight="1">
      <c r="C313" s="1"/>
      <c r="D313" s="1"/>
      <c r="E313" s="1"/>
      <c r="F313" s="1"/>
      <c r="G313" s="2"/>
      <c r="H313" s="2"/>
      <c r="P313" s="3"/>
    </row>
    <row r="314" ht="15.75" customHeight="1">
      <c r="C314" s="1"/>
      <c r="D314" s="1"/>
      <c r="E314" s="1"/>
      <c r="F314" s="1"/>
      <c r="G314" s="2"/>
      <c r="H314" s="2"/>
      <c r="P314" s="3"/>
    </row>
    <row r="315" ht="15.75" customHeight="1">
      <c r="C315" s="1"/>
      <c r="D315" s="1"/>
      <c r="E315" s="1"/>
      <c r="F315" s="1"/>
      <c r="G315" s="2"/>
      <c r="H315" s="2"/>
      <c r="P315" s="3"/>
    </row>
    <row r="316" ht="15.75" customHeight="1">
      <c r="C316" s="1"/>
      <c r="D316" s="1"/>
      <c r="E316" s="1"/>
      <c r="F316" s="1"/>
      <c r="G316" s="2"/>
      <c r="H316" s="2"/>
      <c r="P316" s="3"/>
    </row>
    <row r="317" ht="15.75" customHeight="1">
      <c r="C317" s="1"/>
      <c r="D317" s="1"/>
      <c r="E317" s="1"/>
      <c r="F317" s="1"/>
      <c r="G317" s="2"/>
      <c r="H317" s="2"/>
      <c r="P317" s="3"/>
    </row>
    <row r="318" ht="15.75" customHeight="1">
      <c r="C318" s="1"/>
      <c r="D318" s="1"/>
      <c r="E318" s="1"/>
      <c r="F318" s="1"/>
      <c r="G318" s="2"/>
      <c r="H318" s="2"/>
      <c r="P318" s="3"/>
    </row>
    <row r="319" ht="15.75" customHeight="1">
      <c r="C319" s="1"/>
      <c r="D319" s="1"/>
      <c r="E319" s="1"/>
      <c r="F319" s="1"/>
      <c r="G319" s="2"/>
      <c r="H319" s="2"/>
      <c r="P319" s="3"/>
    </row>
    <row r="320" ht="15.75" customHeight="1">
      <c r="C320" s="1"/>
      <c r="D320" s="1"/>
      <c r="E320" s="1"/>
      <c r="F320" s="1"/>
      <c r="G320" s="2"/>
      <c r="H320" s="2"/>
      <c r="P320" s="3"/>
    </row>
    <row r="321" ht="15.75" customHeight="1">
      <c r="C321" s="1"/>
      <c r="D321" s="1"/>
      <c r="E321" s="1"/>
      <c r="F321" s="1"/>
      <c r="G321" s="2"/>
      <c r="H321" s="2"/>
      <c r="P321" s="3"/>
    </row>
    <row r="322" ht="15.75" customHeight="1">
      <c r="C322" s="1"/>
      <c r="D322" s="1"/>
      <c r="E322" s="1"/>
      <c r="F322" s="1"/>
      <c r="G322" s="2"/>
      <c r="H322" s="2"/>
      <c r="P322" s="3"/>
    </row>
    <row r="323" ht="15.75" customHeight="1">
      <c r="C323" s="1"/>
      <c r="D323" s="1"/>
      <c r="E323" s="1"/>
      <c r="F323" s="1"/>
      <c r="G323" s="2"/>
      <c r="H323" s="2"/>
      <c r="P323" s="3"/>
    </row>
    <row r="324" ht="15.75" customHeight="1">
      <c r="C324" s="1"/>
      <c r="D324" s="1"/>
      <c r="E324" s="1"/>
      <c r="F324" s="1"/>
      <c r="G324" s="2"/>
      <c r="H324" s="2"/>
      <c r="P324" s="3"/>
    </row>
    <row r="325" ht="15.75" customHeight="1">
      <c r="C325" s="1"/>
      <c r="D325" s="1"/>
      <c r="E325" s="1"/>
      <c r="F325" s="1"/>
      <c r="G325" s="2"/>
      <c r="H325" s="2"/>
      <c r="P325" s="3"/>
    </row>
    <row r="326" ht="15.75" customHeight="1">
      <c r="C326" s="1"/>
      <c r="D326" s="1"/>
      <c r="E326" s="1"/>
      <c r="F326" s="1"/>
      <c r="G326" s="2"/>
      <c r="H326" s="2"/>
      <c r="P326" s="3"/>
    </row>
    <row r="327" ht="15.75" customHeight="1">
      <c r="C327" s="1"/>
      <c r="D327" s="1"/>
      <c r="E327" s="1"/>
      <c r="F327" s="1"/>
      <c r="G327" s="2"/>
      <c r="H327" s="2"/>
      <c r="P327" s="3"/>
    </row>
    <row r="328" ht="15.75" customHeight="1">
      <c r="C328" s="1"/>
      <c r="D328" s="1"/>
      <c r="E328" s="1"/>
      <c r="F328" s="1"/>
      <c r="G328" s="2"/>
      <c r="H328" s="2"/>
      <c r="P328" s="3"/>
    </row>
    <row r="329" ht="15.75" customHeight="1">
      <c r="C329" s="1"/>
      <c r="D329" s="1"/>
      <c r="E329" s="1"/>
      <c r="F329" s="1"/>
      <c r="G329" s="2"/>
      <c r="H329" s="2"/>
      <c r="P329" s="3"/>
    </row>
    <row r="330" ht="15.75" customHeight="1">
      <c r="C330" s="1"/>
      <c r="D330" s="1"/>
      <c r="E330" s="1"/>
      <c r="F330" s="1"/>
      <c r="G330" s="2"/>
      <c r="H330" s="2"/>
      <c r="P330" s="3"/>
    </row>
    <row r="331" ht="15.75" customHeight="1">
      <c r="C331" s="1"/>
      <c r="D331" s="1"/>
      <c r="E331" s="1"/>
      <c r="F331" s="1"/>
      <c r="G331" s="2"/>
      <c r="H331" s="2"/>
      <c r="P331" s="3"/>
    </row>
    <row r="332" ht="15.75" customHeight="1">
      <c r="C332" s="1"/>
      <c r="D332" s="1"/>
      <c r="E332" s="1"/>
      <c r="F332" s="1"/>
      <c r="G332" s="2"/>
      <c r="H332" s="2"/>
      <c r="P332" s="3"/>
    </row>
    <row r="333" ht="15.75" customHeight="1">
      <c r="C333" s="1"/>
      <c r="D333" s="1"/>
      <c r="E333" s="1"/>
      <c r="F333" s="1"/>
      <c r="G333" s="2"/>
      <c r="H333" s="2"/>
      <c r="P333" s="3"/>
    </row>
    <row r="334" ht="15.75" customHeight="1">
      <c r="C334" s="1"/>
      <c r="D334" s="1"/>
      <c r="E334" s="1"/>
      <c r="F334" s="1"/>
      <c r="G334" s="2"/>
      <c r="H334" s="2"/>
      <c r="P334" s="3"/>
    </row>
    <row r="335" ht="15.75" customHeight="1">
      <c r="C335" s="1"/>
      <c r="D335" s="1"/>
      <c r="E335" s="1"/>
      <c r="F335" s="1"/>
      <c r="G335" s="2"/>
      <c r="H335" s="2"/>
      <c r="P335" s="3"/>
    </row>
    <row r="336" ht="15.75" customHeight="1">
      <c r="C336" s="1"/>
      <c r="D336" s="1"/>
      <c r="E336" s="1"/>
      <c r="F336" s="1"/>
      <c r="G336" s="2"/>
      <c r="H336" s="2"/>
      <c r="P336" s="3"/>
    </row>
    <row r="337" ht="15.75" customHeight="1">
      <c r="C337" s="1"/>
      <c r="D337" s="1"/>
      <c r="E337" s="1"/>
      <c r="F337" s="1"/>
      <c r="G337" s="2"/>
      <c r="H337" s="2"/>
      <c r="P337" s="3"/>
    </row>
    <row r="338" ht="15.75" customHeight="1">
      <c r="C338" s="1"/>
      <c r="D338" s="1"/>
      <c r="E338" s="1"/>
      <c r="F338" s="1"/>
      <c r="G338" s="2"/>
      <c r="H338" s="2"/>
      <c r="P338" s="3"/>
    </row>
    <row r="339" ht="15.75" customHeight="1">
      <c r="C339" s="1"/>
      <c r="D339" s="1"/>
      <c r="E339" s="1"/>
      <c r="F339" s="1"/>
      <c r="G339" s="2"/>
      <c r="H339" s="2"/>
      <c r="P339" s="3"/>
    </row>
    <row r="340" ht="15.75" customHeight="1">
      <c r="C340" s="1"/>
      <c r="D340" s="1"/>
      <c r="E340" s="1"/>
      <c r="F340" s="1"/>
      <c r="G340" s="2"/>
      <c r="H340" s="2"/>
      <c r="P340" s="3"/>
    </row>
    <row r="341" ht="15.75" customHeight="1">
      <c r="C341" s="1"/>
      <c r="D341" s="1"/>
      <c r="E341" s="1"/>
      <c r="F341" s="1"/>
      <c r="G341" s="2"/>
      <c r="H341" s="2"/>
      <c r="P341" s="3"/>
    </row>
    <row r="342" ht="15.75" customHeight="1">
      <c r="C342" s="1"/>
      <c r="D342" s="1"/>
      <c r="E342" s="1"/>
      <c r="F342" s="1"/>
      <c r="G342" s="2"/>
      <c r="H342" s="2"/>
      <c r="P342" s="3"/>
    </row>
    <row r="343" ht="15.75" customHeight="1">
      <c r="C343" s="1"/>
      <c r="D343" s="1"/>
      <c r="E343" s="1"/>
      <c r="F343" s="1"/>
      <c r="G343" s="2"/>
      <c r="H343" s="2"/>
      <c r="P343" s="3"/>
    </row>
    <row r="344" ht="15.75" customHeight="1">
      <c r="C344" s="1"/>
      <c r="D344" s="1"/>
      <c r="E344" s="1"/>
      <c r="F344" s="1"/>
      <c r="G344" s="2"/>
      <c r="H344" s="2"/>
      <c r="P344" s="3"/>
    </row>
    <row r="345" ht="15.75" customHeight="1">
      <c r="C345" s="1"/>
      <c r="D345" s="1"/>
      <c r="E345" s="1"/>
      <c r="F345" s="1"/>
      <c r="G345" s="2"/>
      <c r="H345" s="2"/>
      <c r="P345" s="3"/>
    </row>
    <row r="346" ht="15.75" customHeight="1">
      <c r="C346" s="1"/>
      <c r="D346" s="1"/>
      <c r="E346" s="1"/>
      <c r="F346" s="1"/>
      <c r="G346" s="2"/>
      <c r="H346" s="2"/>
      <c r="P346" s="3"/>
    </row>
    <row r="347" ht="15.75" customHeight="1">
      <c r="C347" s="1"/>
      <c r="D347" s="1"/>
      <c r="E347" s="1"/>
      <c r="F347" s="1"/>
      <c r="G347" s="2"/>
      <c r="H347" s="2"/>
      <c r="P347" s="3"/>
    </row>
    <row r="348" ht="15.75" customHeight="1">
      <c r="C348" s="1"/>
      <c r="D348" s="1"/>
      <c r="E348" s="1"/>
      <c r="F348" s="1"/>
      <c r="G348" s="2"/>
      <c r="H348" s="2"/>
      <c r="P348" s="3"/>
    </row>
    <row r="349" ht="15.75" customHeight="1">
      <c r="C349" s="1"/>
      <c r="D349" s="1"/>
      <c r="E349" s="1"/>
      <c r="F349" s="1"/>
      <c r="G349" s="2"/>
      <c r="H349" s="2"/>
      <c r="P349" s="3"/>
    </row>
    <row r="350" ht="15.75" customHeight="1">
      <c r="C350" s="1"/>
      <c r="D350" s="1"/>
      <c r="E350" s="1"/>
      <c r="F350" s="1"/>
      <c r="G350" s="2"/>
      <c r="H350" s="2"/>
      <c r="P350" s="3"/>
    </row>
    <row r="351" ht="15.75" customHeight="1">
      <c r="C351" s="1"/>
      <c r="D351" s="1"/>
      <c r="E351" s="1"/>
      <c r="F351" s="1"/>
      <c r="G351" s="2"/>
      <c r="H351" s="2"/>
      <c r="P351" s="3"/>
    </row>
    <row r="352" ht="15.75" customHeight="1">
      <c r="C352" s="1"/>
      <c r="D352" s="1"/>
      <c r="E352" s="1"/>
      <c r="F352" s="1"/>
      <c r="G352" s="2"/>
      <c r="H352" s="2"/>
      <c r="P352" s="3"/>
    </row>
    <row r="353" ht="15.75" customHeight="1">
      <c r="C353" s="1"/>
      <c r="D353" s="1"/>
      <c r="E353" s="1"/>
      <c r="F353" s="1"/>
      <c r="G353" s="2"/>
      <c r="H353" s="2"/>
      <c r="P353" s="3"/>
    </row>
    <row r="354" ht="15.75" customHeight="1">
      <c r="C354" s="1"/>
      <c r="D354" s="1"/>
      <c r="E354" s="1"/>
      <c r="F354" s="1"/>
      <c r="G354" s="2"/>
      <c r="H354" s="2"/>
      <c r="P354" s="3"/>
    </row>
    <row r="355" ht="15.75" customHeight="1">
      <c r="C355" s="1"/>
      <c r="D355" s="1"/>
      <c r="E355" s="1"/>
      <c r="F355" s="1"/>
      <c r="G355" s="2"/>
      <c r="H355" s="2"/>
      <c r="P355" s="3"/>
    </row>
    <row r="356" ht="15.75" customHeight="1">
      <c r="C356" s="1"/>
      <c r="D356" s="1"/>
      <c r="E356" s="1"/>
      <c r="F356" s="1"/>
      <c r="G356" s="2"/>
      <c r="H356" s="2"/>
      <c r="P356" s="3"/>
    </row>
    <row r="357" ht="15.75" customHeight="1">
      <c r="C357" s="1"/>
      <c r="D357" s="1"/>
      <c r="E357" s="1"/>
      <c r="F357" s="1"/>
      <c r="G357" s="2"/>
      <c r="H357" s="2"/>
      <c r="P357" s="3"/>
    </row>
    <row r="358" ht="15.75" customHeight="1">
      <c r="C358" s="1"/>
      <c r="D358" s="1"/>
      <c r="E358" s="1"/>
      <c r="F358" s="1"/>
      <c r="G358" s="2"/>
      <c r="H358" s="2"/>
      <c r="P358" s="3"/>
    </row>
    <row r="359" ht="15.75" customHeight="1">
      <c r="C359" s="1"/>
      <c r="D359" s="1"/>
      <c r="E359" s="1"/>
      <c r="F359" s="1"/>
      <c r="G359" s="2"/>
      <c r="H359" s="2"/>
      <c r="P359" s="3"/>
    </row>
    <row r="360" ht="15.75" customHeight="1">
      <c r="C360" s="1"/>
      <c r="D360" s="1"/>
      <c r="E360" s="1"/>
      <c r="F360" s="1"/>
      <c r="G360" s="2"/>
      <c r="H360" s="2"/>
      <c r="P360" s="3"/>
    </row>
    <row r="361" ht="15.75" customHeight="1">
      <c r="C361" s="1"/>
      <c r="D361" s="1"/>
      <c r="E361" s="1"/>
      <c r="F361" s="1"/>
      <c r="G361" s="2"/>
      <c r="H361" s="2"/>
      <c r="P361" s="3"/>
    </row>
    <row r="362" ht="15.75" customHeight="1">
      <c r="C362" s="1"/>
      <c r="D362" s="1"/>
      <c r="E362" s="1"/>
      <c r="F362" s="1"/>
      <c r="G362" s="2"/>
      <c r="H362" s="2"/>
      <c r="P362" s="3"/>
    </row>
    <row r="363" ht="15.75" customHeight="1">
      <c r="C363" s="1"/>
      <c r="D363" s="1"/>
      <c r="E363" s="1"/>
      <c r="F363" s="1"/>
      <c r="G363" s="2"/>
      <c r="H363" s="2"/>
      <c r="P363" s="3"/>
    </row>
    <row r="364" ht="15.75" customHeight="1">
      <c r="C364" s="1"/>
      <c r="D364" s="1"/>
      <c r="E364" s="1"/>
      <c r="F364" s="1"/>
      <c r="G364" s="2"/>
      <c r="H364" s="2"/>
      <c r="P364" s="3"/>
    </row>
    <row r="365" ht="15.75" customHeight="1">
      <c r="C365" s="1"/>
      <c r="D365" s="1"/>
      <c r="E365" s="1"/>
      <c r="F365" s="1"/>
      <c r="G365" s="2"/>
      <c r="H365" s="2"/>
      <c r="P365" s="3"/>
    </row>
    <row r="366" ht="15.75" customHeight="1">
      <c r="C366" s="1"/>
      <c r="D366" s="1"/>
      <c r="E366" s="1"/>
      <c r="F366" s="1"/>
      <c r="G366" s="2"/>
      <c r="H366" s="2"/>
      <c r="P366" s="3"/>
    </row>
    <row r="367" ht="15.75" customHeight="1">
      <c r="C367" s="1"/>
      <c r="D367" s="1"/>
      <c r="E367" s="1"/>
      <c r="F367" s="1"/>
      <c r="G367" s="2"/>
      <c r="H367" s="2"/>
      <c r="P367" s="3"/>
    </row>
    <row r="368" ht="15.75" customHeight="1">
      <c r="C368" s="1"/>
      <c r="D368" s="1"/>
      <c r="E368" s="1"/>
      <c r="F368" s="1"/>
      <c r="G368" s="2"/>
      <c r="H368" s="2"/>
      <c r="P368" s="3"/>
    </row>
    <row r="369" ht="15.75" customHeight="1">
      <c r="C369" s="1"/>
      <c r="D369" s="1"/>
      <c r="E369" s="1"/>
      <c r="F369" s="1"/>
      <c r="G369" s="2"/>
      <c r="H369" s="2"/>
      <c r="P369" s="3"/>
    </row>
    <row r="370" ht="15.75" customHeight="1">
      <c r="C370" s="1"/>
      <c r="D370" s="1"/>
      <c r="E370" s="1"/>
      <c r="F370" s="1"/>
      <c r="G370" s="2"/>
      <c r="H370" s="2"/>
      <c r="P370" s="3"/>
    </row>
    <row r="371" ht="15.75" customHeight="1">
      <c r="C371" s="1"/>
      <c r="D371" s="1"/>
      <c r="E371" s="1"/>
      <c r="F371" s="1"/>
      <c r="G371" s="2"/>
      <c r="H371" s="2"/>
      <c r="P371" s="3"/>
    </row>
    <row r="372" ht="15.75" customHeight="1">
      <c r="C372" s="1"/>
      <c r="D372" s="1"/>
      <c r="E372" s="1"/>
      <c r="F372" s="1"/>
      <c r="G372" s="2"/>
      <c r="H372" s="2"/>
      <c r="P372" s="3"/>
    </row>
    <row r="373" ht="15.75" customHeight="1">
      <c r="C373" s="1"/>
      <c r="D373" s="1"/>
      <c r="E373" s="1"/>
      <c r="F373" s="1"/>
      <c r="G373" s="2"/>
      <c r="H373" s="2"/>
      <c r="P373" s="3"/>
    </row>
    <row r="374" ht="15.75" customHeight="1">
      <c r="C374" s="1"/>
      <c r="D374" s="1"/>
      <c r="E374" s="1"/>
      <c r="F374" s="1"/>
      <c r="G374" s="2"/>
      <c r="H374" s="2"/>
      <c r="P374" s="3"/>
    </row>
    <row r="375" ht="15.75" customHeight="1">
      <c r="C375" s="1"/>
      <c r="D375" s="1"/>
      <c r="E375" s="1"/>
      <c r="F375" s="1"/>
      <c r="G375" s="2"/>
      <c r="H375" s="2"/>
      <c r="P375" s="3"/>
    </row>
    <row r="376" ht="15.75" customHeight="1">
      <c r="C376" s="1"/>
      <c r="D376" s="1"/>
      <c r="E376" s="1"/>
      <c r="F376" s="1"/>
      <c r="G376" s="2"/>
      <c r="H376" s="2"/>
      <c r="P376" s="3"/>
    </row>
    <row r="377" ht="15.75" customHeight="1">
      <c r="C377" s="1"/>
      <c r="D377" s="1"/>
      <c r="E377" s="1"/>
      <c r="F377" s="1"/>
      <c r="G377" s="2"/>
      <c r="H377" s="2"/>
      <c r="P377" s="3"/>
    </row>
    <row r="378" ht="15.75" customHeight="1">
      <c r="C378" s="1"/>
      <c r="D378" s="1"/>
      <c r="E378" s="1"/>
      <c r="F378" s="1"/>
      <c r="G378" s="2"/>
      <c r="H378" s="2"/>
      <c r="P378" s="3"/>
    </row>
    <row r="379" ht="15.75" customHeight="1">
      <c r="C379" s="1"/>
      <c r="D379" s="1"/>
      <c r="E379" s="1"/>
      <c r="F379" s="1"/>
      <c r="G379" s="2"/>
      <c r="H379" s="2"/>
      <c r="P379" s="3"/>
    </row>
    <row r="380" ht="15.75" customHeight="1">
      <c r="C380" s="1"/>
      <c r="D380" s="1"/>
      <c r="E380" s="1"/>
      <c r="F380" s="1"/>
      <c r="G380" s="2"/>
      <c r="H380" s="2"/>
      <c r="P380" s="3"/>
    </row>
    <row r="381" ht="15.75" customHeight="1">
      <c r="C381" s="1"/>
      <c r="D381" s="1"/>
      <c r="E381" s="1"/>
      <c r="F381" s="1"/>
      <c r="G381" s="2"/>
      <c r="H381" s="2"/>
      <c r="P381" s="3"/>
    </row>
    <row r="382" ht="15.75" customHeight="1">
      <c r="C382" s="1"/>
      <c r="D382" s="1"/>
      <c r="E382" s="1"/>
      <c r="F382" s="1"/>
      <c r="G382" s="2"/>
      <c r="H382" s="2"/>
      <c r="P382" s="3"/>
    </row>
    <row r="383" ht="15.75" customHeight="1">
      <c r="C383" s="1"/>
      <c r="D383" s="1"/>
      <c r="E383" s="1"/>
      <c r="F383" s="1"/>
      <c r="G383" s="2"/>
      <c r="H383" s="2"/>
      <c r="P383" s="3"/>
    </row>
    <row r="384" ht="15.75" customHeight="1">
      <c r="C384" s="1"/>
      <c r="D384" s="1"/>
      <c r="E384" s="1"/>
      <c r="F384" s="1"/>
      <c r="G384" s="2"/>
      <c r="H384" s="2"/>
      <c r="P384" s="3"/>
    </row>
    <row r="385" ht="15.75" customHeight="1">
      <c r="C385" s="1"/>
      <c r="D385" s="1"/>
      <c r="E385" s="1"/>
      <c r="F385" s="1"/>
      <c r="G385" s="2"/>
      <c r="H385" s="2"/>
      <c r="P385" s="3"/>
    </row>
    <row r="386" ht="15.75" customHeight="1">
      <c r="C386" s="1"/>
      <c r="D386" s="1"/>
      <c r="E386" s="1"/>
      <c r="F386" s="1"/>
      <c r="G386" s="2"/>
      <c r="H386" s="2"/>
      <c r="P386" s="3"/>
    </row>
    <row r="387" ht="15.75" customHeight="1">
      <c r="C387" s="1"/>
      <c r="D387" s="1"/>
      <c r="E387" s="1"/>
      <c r="F387" s="1"/>
      <c r="G387" s="2"/>
      <c r="H387" s="2"/>
      <c r="P387" s="3"/>
    </row>
    <row r="388" ht="15.75" customHeight="1">
      <c r="C388" s="1"/>
      <c r="D388" s="1"/>
      <c r="E388" s="1"/>
      <c r="F388" s="1"/>
      <c r="G388" s="2"/>
      <c r="H388" s="2"/>
      <c r="P388" s="3"/>
    </row>
    <row r="389" ht="15.75" customHeight="1">
      <c r="C389" s="1"/>
      <c r="D389" s="1"/>
      <c r="E389" s="1"/>
      <c r="F389" s="1"/>
      <c r="G389" s="2"/>
      <c r="H389" s="2"/>
      <c r="P389" s="3"/>
    </row>
    <row r="390" ht="15.75" customHeight="1">
      <c r="C390" s="1"/>
      <c r="D390" s="1"/>
      <c r="E390" s="1"/>
      <c r="F390" s="1"/>
      <c r="G390" s="2"/>
      <c r="H390" s="2"/>
      <c r="P390" s="3"/>
    </row>
    <row r="391" ht="15.75" customHeight="1">
      <c r="C391" s="1"/>
      <c r="D391" s="1"/>
      <c r="E391" s="1"/>
      <c r="F391" s="1"/>
      <c r="G391" s="2"/>
      <c r="H391" s="2"/>
      <c r="P391" s="3"/>
    </row>
    <row r="392" ht="15.75" customHeight="1">
      <c r="C392" s="1"/>
      <c r="D392" s="1"/>
      <c r="E392" s="1"/>
      <c r="F392" s="1"/>
      <c r="G392" s="2"/>
      <c r="H392" s="2"/>
      <c r="P392" s="3"/>
    </row>
    <row r="393" ht="15.75" customHeight="1">
      <c r="C393" s="1"/>
      <c r="D393" s="1"/>
      <c r="E393" s="1"/>
      <c r="F393" s="1"/>
      <c r="G393" s="2"/>
      <c r="H393" s="2"/>
      <c r="P393" s="3"/>
    </row>
    <row r="394" ht="15.75" customHeight="1">
      <c r="C394" s="1"/>
      <c r="D394" s="1"/>
      <c r="E394" s="1"/>
      <c r="F394" s="1"/>
      <c r="G394" s="2"/>
      <c r="H394" s="2"/>
      <c r="P394" s="3"/>
    </row>
    <row r="395" ht="15.75" customHeight="1">
      <c r="C395" s="1"/>
      <c r="D395" s="1"/>
      <c r="E395" s="1"/>
      <c r="F395" s="1"/>
      <c r="G395" s="2"/>
      <c r="H395" s="2"/>
      <c r="P395" s="3"/>
    </row>
    <row r="396" ht="15.75" customHeight="1">
      <c r="C396" s="1"/>
      <c r="D396" s="1"/>
      <c r="E396" s="1"/>
      <c r="F396" s="1"/>
      <c r="G396" s="2"/>
      <c r="H396" s="2"/>
      <c r="P396" s="3"/>
    </row>
    <row r="397" ht="15.75" customHeight="1">
      <c r="C397" s="1"/>
      <c r="D397" s="1"/>
      <c r="E397" s="1"/>
      <c r="F397" s="1"/>
      <c r="G397" s="2"/>
      <c r="H397" s="2"/>
      <c r="P397" s="3"/>
    </row>
    <row r="398" ht="15.75" customHeight="1">
      <c r="C398" s="1"/>
      <c r="D398" s="1"/>
      <c r="E398" s="1"/>
      <c r="F398" s="1"/>
      <c r="G398" s="2"/>
      <c r="H398" s="2"/>
      <c r="P398" s="3"/>
    </row>
    <row r="399" ht="15.75" customHeight="1">
      <c r="C399" s="1"/>
      <c r="D399" s="1"/>
      <c r="E399" s="1"/>
      <c r="F399" s="1"/>
      <c r="G399" s="2"/>
      <c r="H399" s="2"/>
      <c r="P399" s="3"/>
    </row>
    <row r="400" ht="15.75" customHeight="1">
      <c r="C400" s="1"/>
      <c r="D400" s="1"/>
      <c r="E400" s="1"/>
      <c r="F400" s="1"/>
      <c r="G400" s="2"/>
      <c r="H400" s="2"/>
      <c r="P400" s="3"/>
    </row>
    <row r="401" ht="15.75" customHeight="1">
      <c r="C401" s="1"/>
      <c r="D401" s="1"/>
      <c r="E401" s="1"/>
      <c r="F401" s="1"/>
      <c r="G401" s="2"/>
      <c r="H401" s="2"/>
      <c r="P401" s="3"/>
    </row>
    <row r="402" ht="15.75" customHeight="1">
      <c r="C402" s="1"/>
      <c r="D402" s="1"/>
      <c r="E402" s="1"/>
      <c r="F402" s="1"/>
      <c r="G402" s="2"/>
      <c r="H402" s="2"/>
      <c r="P402" s="3"/>
    </row>
    <row r="403" ht="15.75" customHeight="1">
      <c r="C403" s="1"/>
      <c r="D403" s="1"/>
      <c r="E403" s="1"/>
      <c r="F403" s="1"/>
      <c r="G403" s="2"/>
      <c r="H403" s="2"/>
      <c r="P403" s="3"/>
    </row>
    <row r="404" ht="15.75" customHeight="1">
      <c r="C404" s="1"/>
      <c r="D404" s="1"/>
      <c r="E404" s="1"/>
      <c r="F404" s="1"/>
      <c r="G404" s="2"/>
      <c r="H404" s="2"/>
      <c r="P404" s="3"/>
    </row>
    <row r="405" ht="15.75" customHeight="1">
      <c r="C405" s="1"/>
      <c r="D405" s="1"/>
      <c r="E405" s="1"/>
      <c r="F405" s="1"/>
      <c r="G405" s="2"/>
      <c r="H405" s="2"/>
      <c r="P405" s="3"/>
    </row>
    <row r="406" ht="15.75" customHeight="1">
      <c r="C406" s="1"/>
      <c r="D406" s="1"/>
      <c r="E406" s="1"/>
      <c r="F406" s="1"/>
      <c r="G406" s="2"/>
      <c r="H406" s="2"/>
      <c r="P406" s="3"/>
    </row>
    <row r="407" ht="15.75" customHeight="1">
      <c r="C407" s="1"/>
      <c r="D407" s="1"/>
      <c r="E407" s="1"/>
      <c r="F407" s="1"/>
      <c r="G407" s="2"/>
      <c r="H407" s="2"/>
      <c r="P407" s="3"/>
    </row>
    <row r="408" ht="15.75" customHeight="1">
      <c r="C408" s="1"/>
      <c r="D408" s="1"/>
      <c r="E408" s="1"/>
      <c r="F408" s="1"/>
      <c r="G408" s="2"/>
      <c r="H408" s="2"/>
      <c r="P408" s="3"/>
    </row>
    <row r="409" ht="15.75" customHeight="1">
      <c r="C409" s="1"/>
      <c r="D409" s="1"/>
      <c r="E409" s="1"/>
      <c r="F409" s="1"/>
      <c r="G409" s="2"/>
      <c r="H409" s="2"/>
      <c r="P409" s="3"/>
    </row>
    <row r="410" ht="15.75" customHeight="1">
      <c r="C410" s="1"/>
      <c r="D410" s="1"/>
      <c r="E410" s="1"/>
      <c r="F410" s="1"/>
      <c r="G410" s="2"/>
      <c r="H410" s="2"/>
      <c r="P410" s="3"/>
    </row>
    <row r="411" ht="15.75" customHeight="1">
      <c r="C411" s="1"/>
      <c r="D411" s="1"/>
      <c r="E411" s="1"/>
      <c r="F411" s="1"/>
      <c r="G411" s="2"/>
      <c r="H411" s="2"/>
      <c r="P411" s="3"/>
    </row>
    <row r="412" ht="15.75" customHeight="1">
      <c r="C412" s="1"/>
      <c r="D412" s="1"/>
      <c r="E412" s="1"/>
      <c r="F412" s="1"/>
      <c r="G412" s="2"/>
      <c r="H412" s="2"/>
      <c r="P412" s="3"/>
    </row>
    <row r="413" ht="15.75" customHeight="1">
      <c r="C413" s="1"/>
      <c r="D413" s="1"/>
      <c r="E413" s="1"/>
      <c r="F413" s="1"/>
      <c r="G413" s="2"/>
      <c r="H413" s="2"/>
      <c r="P413" s="3"/>
    </row>
    <row r="414" ht="15.75" customHeight="1">
      <c r="C414" s="1"/>
      <c r="D414" s="1"/>
      <c r="E414" s="1"/>
      <c r="F414" s="1"/>
      <c r="G414" s="2"/>
      <c r="H414" s="2"/>
      <c r="P414" s="3"/>
    </row>
    <row r="415" ht="15.75" customHeight="1">
      <c r="C415" s="1"/>
      <c r="D415" s="1"/>
      <c r="E415" s="1"/>
      <c r="F415" s="1"/>
      <c r="G415" s="2"/>
      <c r="H415" s="2"/>
      <c r="P415" s="3"/>
    </row>
    <row r="416" ht="15.75" customHeight="1">
      <c r="C416" s="1"/>
      <c r="D416" s="1"/>
      <c r="E416" s="1"/>
      <c r="F416" s="1"/>
      <c r="G416" s="2"/>
      <c r="H416" s="2"/>
      <c r="P416" s="3"/>
    </row>
    <row r="417" ht="15.75" customHeight="1">
      <c r="C417" s="1"/>
      <c r="D417" s="1"/>
      <c r="E417" s="1"/>
      <c r="F417" s="1"/>
      <c r="G417" s="2"/>
      <c r="H417" s="2"/>
      <c r="P417" s="3"/>
    </row>
    <row r="418" ht="15.75" customHeight="1">
      <c r="C418" s="1"/>
      <c r="D418" s="1"/>
      <c r="E418" s="1"/>
      <c r="F418" s="1"/>
      <c r="G418" s="2"/>
      <c r="H418" s="2"/>
      <c r="P418" s="3"/>
    </row>
    <row r="419" ht="15.75" customHeight="1">
      <c r="C419" s="1"/>
      <c r="D419" s="1"/>
      <c r="E419" s="1"/>
      <c r="F419" s="1"/>
      <c r="G419" s="2"/>
      <c r="H419" s="2"/>
      <c r="P419" s="3"/>
    </row>
    <row r="420" ht="15.75" customHeight="1">
      <c r="C420" s="1"/>
      <c r="D420" s="1"/>
      <c r="E420" s="1"/>
      <c r="F420" s="1"/>
      <c r="G420" s="2"/>
      <c r="H420" s="2"/>
      <c r="P420" s="3"/>
    </row>
    <row r="421" ht="15.75" customHeight="1">
      <c r="C421" s="1"/>
      <c r="D421" s="1"/>
      <c r="E421" s="1"/>
      <c r="F421" s="1"/>
      <c r="G421" s="2"/>
      <c r="H421" s="2"/>
      <c r="P421" s="3"/>
    </row>
    <row r="422" ht="15.75" customHeight="1">
      <c r="C422" s="1"/>
      <c r="D422" s="1"/>
      <c r="E422" s="1"/>
      <c r="F422" s="1"/>
      <c r="G422" s="2"/>
      <c r="H422" s="2"/>
      <c r="P422" s="3"/>
    </row>
    <row r="423" ht="15.75" customHeight="1">
      <c r="C423" s="1"/>
      <c r="D423" s="1"/>
      <c r="E423" s="1"/>
      <c r="F423" s="1"/>
      <c r="G423" s="2"/>
      <c r="H423" s="2"/>
      <c r="P423" s="3"/>
    </row>
    <row r="424" ht="15.75" customHeight="1">
      <c r="C424" s="1"/>
      <c r="D424" s="1"/>
      <c r="E424" s="1"/>
      <c r="F424" s="1"/>
      <c r="G424" s="2"/>
      <c r="H424" s="2"/>
      <c r="P424" s="3"/>
    </row>
    <row r="425" ht="15.75" customHeight="1">
      <c r="C425" s="1"/>
      <c r="D425" s="1"/>
      <c r="E425" s="1"/>
      <c r="F425" s="1"/>
      <c r="G425" s="2"/>
      <c r="H425" s="2"/>
      <c r="P425" s="3"/>
    </row>
    <row r="426" ht="15.75" customHeight="1">
      <c r="C426" s="1"/>
      <c r="D426" s="1"/>
      <c r="E426" s="1"/>
      <c r="F426" s="1"/>
      <c r="G426" s="2"/>
      <c r="H426" s="2"/>
      <c r="P426" s="3"/>
    </row>
    <row r="427" ht="15.75" customHeight="1">
      <c r="C427" s="1"/>
      <c r="D427" s="1"/>
      <c r="E427" s="1"/>
      <c r="F427" s="1"/>
      <c r="G427" s="2"/>
      <c r="H427" s="2"/>
      <c r="P427" s="3"/>
    </row>
    <row r="428" ht="15.75" customHeight="1">
      <c r="C428" s="1"/>
      <c r="D428" s="1"/>
      <c r="E428" s="1"/>
      <c r="F428" s="1"/>
      <c r="G428" s="2"/>
      <c r="H428" s="2"/>
      <c r="P428" s="3"/>
    </row>
    <row r="429" ht="15.75" customHeight="1">
      <c r="C429" s="1"/>
      <c r="D429" s="1"/>
      <c r="E429" s="1"/>
      <c r="F429" s="1"/>
      <c r="G429" s="2"/>
      <c r="H429" s="2"/>
      <c r="P429" s="3"/>
    </row>
    <row r="430" ht="15.75" customHeight="1">
      <c r="C430" s="1"/>
      <c r="D430" s="1"/>
      <c r="E430" s="1"/>
      <c r="F430" s="1"/>
      <c r="G430" s="2"/>
      <c r="H430" s="2"/>
      <c r="P430" s="3"/>
    </row>
    <row r="431" ht="15.75" customHeight="1">
      <c r="C431" s="1"/>
      <c r="D431" s="1"/>
      <c r="E431" s="1"/>
      <c r="F431" s="1"/>
      <c r="G431" s="2"/>
      <c r="H431" s="2"/>
      <c r="P431" s="3"/>
    </row>
    <row r="432" ht="15.75" customHeight="1">
      <c r="C432" s="1"/>
      <c r="D432" s="1"/>
      <c r="E432" s="1"/>
      <c r="F432" s="1"/>
      <c r="G432" s="2"/>
      <c r="H432" s="2"/>
      <c r="P432" s="3"/>
    </row>
    <row r="433" ht="15.75" customHeight="1">
      <c r="C433" s="1"/>
      <c r="D433" s="1"/>
      <c r="E433" s="1"/>
      <c r="F433" s="1"/>
      <c r="G433" s="2"/>
      <c r="H433" s="2"/>
      <c r="P433" s="3"/>
    </row>
    <row r="434" ht="15.75" customHeight="1">
      <c r="C434" s="1"/>
      <c r="D434" s="1"/>
      <c r="E434" s="1"/>
      <c r="F434" s="1"/>
      <c r="G434" s="2"/>
      <c r="H434" s="2"/>
      <c r="P434" s="3"/>
    </row>
    <row r="435" ht="15.75" customHeight="1">
      <c r="C435" s="1"/>
      <c r="D435" s="1"/>
      <c r="E435" s="1"/>
      <c r="F435" s="1"/>
      <c r="G435" s="2"/>
      <c r="H435" s="2"/>
      <c r="P435" s="3"/>
    </row>
    <row r="436" ht="15.75" customHeight="1">
      <c r="C436" s="1"/>
      <c r="D436" s="1"/>
      <c r="E436" s="1"/>
      <c r="F436" s="1"/>
      <c r="G436" s="2"/>
      <c r="H436" s="2"/>
      <c r="P436" s="3"/>
    </row>
    <row r="437" ht="15.75" customHeight="1">
      <c r="C437" s="1"/>
      <c r="D437" s="1"/>
      <c r="E437" s="1"/>
      <c r="F437" s="1"/>
      <c r="G437" s="2"/>
      <c r="H437" s="2"/>
      <c r="P437" s="3"/>
    </row>
    <row r="438" ht="15.75" customHeight="1">
      <c r="C438" s="1"/>
      <c r="D438" s="1"/>
      <c r="E438" s="1"/>
      <c r="F438" s="1"/>
      <c r="G438" s="2"/>
      <c r="H438" s="2"/>
      <c r="P438" s="3"/>
    </row>
    <row r="439" ht="15.75" customHeight="1">
      <c r="C439" s="1"/>
      <c r="D439" s="1"/>
      <c r="E439" s="1"/>
      <c r="F439" s="1"/>
      <c r="G439" s="2"/>
      <c r="H439" s="2"/>
      <c r="P439" s="3"/>
    </row>
    <row r="440" ht="15.75" customHeight="1">
      <c r="C440" s="1"/>
      <c r="D440" s="1"/>
      <c r="E440" s="1"/>
      <c r="F440" s="1"/>
      <c r="G440" s="2"/>
      <c r="H440" s="2"/>
      <c r="P440" s="3"/>
    </row>
    <row r="441" ht="15.75" customHeight="1">
      <c r="C441" s="1"/>
      <c r="D441" s="1"/>
      <c r="E441" s="1"/>
      <c r="F441" s="1"/>
      <c r="G441" s="2"/>
      <c r="H441" s="2"/>
      <c r="P441" s="3"/>
    </row>
    <row r="442" ht="15.75" customHeight="1">
      <c r="C442" s="1"/>
      <c r="D442" s="1"/>
      <c r="E442" s="1"/>
      <c r="F442" s="1"/>
      <c r="G442" s="2"/>
      <c r="H442" s="2"/>
      <c r="P442" s="3"/>
    </row>
    <row r="443" ht="15.75" customHeight="1">
      <c r="C443" s="1"/>
      <c r="D443" s="1"/>
      <c r="E443" s="1"/>
      <c r="F443" s="1"/>
      <c r="G443" s="2"/>
      <c r="H443" s="2"/>
      <c r="P443" s="3"/>
    </row>
    <row r="444" ht="15.75" customHeight="1">
      <c r="C444" s="1"/>
      <c r="D444" s="1"/>
      <c r="E444" s="1"/>
      <c r="F444" s="1"/>
      <c r="G444" s="2"/>
      <c r="H444" s="2"/>
      <c r="P444" s="3"/>
    </row>
    <row r="445" ht="15.75" customHeight="1">
      <c r="C445" s="1"/>
      <c r="D445" s="1"/>
      <c r="E445" s="1"/>
      <c r="F445" s="1"/>
      <c r="G445" s="2"/>
      <c r="H445" s="2"/>
      <c r="P445" s="3"/>
    </row>
    <row r="446" ht="15.75" customHeight="1">
      <c r="C446" s="1"/>
      <c r="D446" s="1"/>
      <c r="E446" s="1"/>
      <c r="F446" s="1"/>
      <c r="G446" s="2"/>
      <c r="H446" s="2"/>
      <c r="P446" s="3"/>
    </row>
    <row r="447" ht="15.75" customHeight="1">
      <c r="C447" s="1"/>
      <c r="D447" s="1"/>
      <c r="E447" s="1"/>
      <c r="F447" s="1"/>
      <c r="G447" s="2"/>
      <c r="H447" s="2"/>
      <c r="P447" s="3"/>
    </row>
    <row r="448" ht="15.75" customHeight="1">
      <c r="C448" s="1"/>
      <c r="D448" s="1"/>
      <c r="E448" s="1"/>
      <c r="F448" s="1"/>
      <c r="G448" s="2"/>
      <c r="H448" s="2"/>
      <c r="P448" s="3"/>
    </row>
    <row r="449" ht="15.75" customHeight="1">
      <c r="C449" s="1"/>
      <c r="D449" s="1"/>
      <c r="E449" s="1"/>
      <c r="F449" s="1"/>
      <c r="G449" s="2"/>
      <c r="H449" s="2"/>
      <c r="P449" s="3"/>
    </row>
    <row r="450" ht="15.75" customHeight="1">
      <c r="C450" s="1"/>
      <c r="D450" s="1"/>
      <c r="E450" s="1"/>
      <c r="F450" s="1"/>
      <c r="G450" s="2"/>
      <c r="H450" s="2"/>
      <c r="P450" s="3"/>
    </row>
    <row r="451" ht="15.75" customHeight="1">
      <c r="C451" s="1"/>
      <c r="D451" s="1"/>
      <c r="E451" s="1"/>
      <c r="F451" s="1"/>
      <c r="G451" s="2"/>
      <c r="H451" s="2"/>
      <c r="P451" s="3"/>
    </row>
    <row r="452" ht="15.75" customHeight="1">
      <c r="C452" s="1"/>
      <c r="D452" s="1"/>
      <c r="E452" s="1"/>
      <c r="F452" s="1"/>
      <c r="G452" s="2"/>
      <c r="H452" s="2"/>
      <c r="P452" s="3"/>
    </row>
    <row r="453" ht="15.75" customHeight="1">
      <c r="C453" s="1"/>
      <c r="D453" s="1"/>
      <c r="E453" s="1"/>
      <c r="F453" s="1"/>
      <c r="G453" s="2"/>
      <c r="H453" s="2"/>
      <c r="P453" s="3"/>
    </row>
    <row r="454" ht="15.75" customHeight="1">
      <c r="C454" s="1"/>
      <c r="D454" s="1"/>
      <c r="E454" s="1"/>
      <c r="F454" s="1"/>
      <c r="G454" s="2"/>
      <c r="H454" s="2"/>
      <c r="P454" s="3"/>
    </row>
    <row r="455" ht="15.75" customHeight="1">
      <c r="C455" s="1"/>
      <c r="D455" s="1"/>
      <c r="E455" s="1"/>
      <c r="F455" s="1"/>
      <c r="G455" s="2"/>
      <c r="H455" s="2"/>
      <c r="P455" s="3"/>
    </row>
    <row r="456" ht="15.75" customHeight="1">
      <c r="C456" s="1"/>
      <c r="D456" s="1"/>
      <c r="E456" s="1"/>
      <c r="F456" s="1"/>
      <c r="G456" s="2"/>
      <c r="H456" s="2"/>
      <c r="P456" s="3"/>
    </row>
    <row r="457" ht="15.75" customHeight="1">
      <c r="C457" s="1"/>
      <c r="D457" s="1"/>
      <c r="E457" s="1"/>
      <c r="F457" s="1"/>
      <c r="G457" s="2"/>
      <c r="H457" s="2"/>
      <c r="P457" s="3"/>
    </row>
    <row r="458" ht="15.75" customHeight="1">
      <c r="C458" s="1"/>
      <c r="D458" s="1"/>
      <c r="E458" s="1"/>
      <c r="F458" s="1"/>
      <c r="G458" s="2"/>
      <c r="H458" s="2"/>
      <c r="P458" s="3"/>
    </row>
    <row r="459" ht="15.75" customHeight="1">
      <c r="C459" s="1"/>
      <c r="D459" s="1"/>
      <c r="E459" s="1"/>
      <c r="F459" s="1"/>
      <c r="G459" s="2"/>
      <c r="H459" s="2"/>
      <c r="P459" s="3"/>
    </row>
    <row r="460" ht="15.75" customHeight="1">
      <c r="C460" s="1"/>
      <c r="D460" s="1"/>
      <c r="E460" s="1"/>
      <c r="F460" s="1"/>
      <c r="G460" s="2"/>
      <c r="H460" s="2"/>
      <c r="P460" s="3"/>
    </row>
    <row r="461" ht="15.75" customHeight="1">
      <c r="C461" s="1"/>
      <c r="D461" s="1"/>
      <c r="E461" s="1"/>
      <c r="F461" s="1"/>
      <c r="G461" s="2"/>
      <c r="H461" s="2"/>
      <c r="P461" s="3"/>
    </row>
    <row r="462" ht="15.75" customHeight="1">
      <c r="C462" s="1"/>
      <c r="D462" s="1"/>
      <c r="E462" s="1"/>
      <c r="F462" s="1"/>
      <c r="G462" s="2"/>
      <c r="H462" s="2"/>
      <c r="P462" s="3"/>
    </row>
    <row r="463" ht="15.75" customHeight="1">
      <c r="C463" s="1"/>
      <c r="D463" s="1"/>
      <c r="E463" s="1"/>
      <c r="F463" s="1"/>
      <c r="G463" s="2"/>
      <c r="H463" s="2"/>
      <c r="P463" s="3"/>
    </row>
    <row r="464" ht="15.75" customHeight="1">
      <c r="C464" s="1"/>
      <c r="D464" s="1"/>
      <c r="E464" s="1"/>
      <c r="F464" s="1"/>
      <c r="G464" s="2"/>
      <c r="H464" s="2"/>
      <c r="P464" s="3"/>
    </row>
    <row r="465" ht="15.75" customHeight="1">
      <c r="C465" s="1"/>
      <c r="D465" s="1"/>
      <c r="E465" s="1"/>
      <c r="F465" s="1"/>
      <c r="G465" s="2"/>
      <c r="H465" s="2"/>
      <c r="P465" s="3"/>
    </row>
    <row r="466" ht="15.75" customHeight="1">
      <c r="C466" s="1"/>
      <c r="D466" s="1"/>
      <c r="E466" s="1"/>
      <c r="F466" s="1"/>
      <c r="G466" s="2"/>
      <c r="H466" s="2"/>
      <c r="P466" s="3"/>
    </row>
    <row r="467" ht="15.75" customHeight="1">
      <c r="C467" s="1"/>
      <c r="D467" s="1"/>
      <c r="E467" s="1"/>
      <c r="F467" s="1"/>
      <c r="G467" s="2"/>
      <c r="H467" s="2"/>
      <c r="P467" s="3"/>
    </row>
    <row r="468" ht="15.75" customHeight="1">
      <c r="C468" s="1"/>
      <c r="D468" s="1"/>
      <c r="E468" s="1"/>
      <c r="F468" s="1"/>
      <c r="G468" s="2"/>
      <c r="H468" s="2"/>
      <c r="P468" s="3"/>
    </row>
    <row r="469" ht="15.75" customHeight="1">
      <c r="C469" s="1"/>
      <c r="D469" s="1"/>
      <c r="E469" s="1"/>
      <c r="F469" s="1"/>
      <c r="G469" s="2"/>
      <c r="H469" s="2"/>
      <c r="P469" s="3"/>
    </row>
    <row r="470" ht="15.75" customHeight="1">
      <c r="C470" s="1"/>
      <c r="D470" s="1"/>
      <c r="E470" s="1"/>
      <c r="F470" s="1"/>
      <c r="G470" s="2"/>
      <c r="H470" s="2"/>
      <c r="P470" s="3"/>
    </row>
    <row r="471" ht="15.75" customHeight="1">
      <c r="C471" s="1"/>
      <c r="D471" s="1"/>
      <c r="E471" s="1"/>
      <c r="F471" s="1"/>
      <c r="G471" s="2"/>
      <c r="H471" s="2"/>
      <c r="P471" s="3"/>
    </row>
    <row r="472" ht="15.75" customHeight="1">
      <c r="C472" s="1"/>
      <c r="D472" s="1"/>
      <c r="E472" s="1"/>
      <c r="F472" s="1"/>
      <c r="G472" s="2"/>
      <c r="H472" s="2"/>
      <c r="P472" s="3"/>
    </row>
    <row r="473" ht="15.75" customHeight="1">
      <c r="C473" s="1"/>
      <c r="D473" s="1"/>
      <c r="E473" s="1"/>
      <c r="F473" s="1"/>
      <c r="G473" s="2"/>
      <c r="H473" s="2"/>
      <c r="P473" s="3"/>
    </row>
    <row r="474" ht="15.75" customHeight="1">
      <c r="C474" s="1"/>
      <c r="D474" s="1"/>
      <c r="E474" s="1"/>
      <c r="F474" s="1"/>
      <c r="G474" s="2"/>
      <c r="H474" s="2"/>
      <c r="P474" s="3"/>
    </row>
    <row r="475" ht="15.75" customHeight="1">
      <c r="C475" s="1"/>
      <c r="D475" s="1"/>
      <c r="E475" s="1"/>
      <c r="F475" s="1"/>
      <c r="G475" s="2"/>
      <c r="H475" s="2"/>
      <c r="P475" s="3"/>
    </row>
    <row r="476" ht="15.75" customHeight="1">
      <c r="C476" s="1"/>
      <c r="D476" s="1"/>
      <c r="E476" s="1"/>
      <c r="F476" s="1"/>
      <c r="G476" s="2"/>
      <c r="H476" s="2"/>
      <c r="P476" s="3"/>
    </row>
    <row r="477" ht="15.75" customHeight="1">
      <c r="C477" s="1"/>
      <c r="D477" s="1"/>
      <c r="E477" s="1"/>
      <c r="F477" s="1"/>
      <c r="G477" s="2"/>
      <c r="H477" s="2"/>
      <c r="P477" s="3"/>
    </row>
    <row r="478" ht="15.75" customHeight="1">
      <c r="C478" s="1"/>
      <c r="D478" s="1"/>
      <c r="E478" s="1"/>
      <c r="F478" s="1"/>
      <c r="G478" s="2"/>
      <c r="H478" s="2"/>
      <c r="P478" s="3"/>
    </row>
    <row r="479" ht="15.75" customHeight="1">
      <c r="C479" s="1"/>
      <c r="D479" s="1"/>
      <c r="E479" s="1"/>
      <c r="F479" s="1"/>
      <c r="G479" s="2"/>
      <c r="H479" s="2"/>
      <c r="P479" s="3"/>
    </row>
    <row r="480" ht="15.75" customHeight="1">
      <c r="C480" s="1"/>
      <c r="D480" s="1"/>
      <c r="E480" s="1"/>
      <c r="F480" s="1"/>
      <c r="G480" s="2"/>
      <c r="H480" s="2"/>
      <c r="P480" s="3"/>
    </row>
    <row r="481" ht="15.75" customHeight="1">
      <c r="C481" s="1"/>
      <c r="D481" s="1"/>
      <c r="E481" s="1"/>
      <c r="F481" s="1"/>
      <c r="G481" s="2"/>
      <c r="H481" s="2"/>
      <c r="P481" s="3"/>
    </row>
    <row r="482" ht="15.75" customHeight="1">
      <c r="C482" s="1"/>
      <c r="D482" s="1"/>
      <c r="E482" s="1"/>
      <c r="F482" s="1"/>
      <c r="G482" s="2"/>
      <c r="H482" s="2"/>
      <c r="P482" s="3"/>
    </row>
    <row r="483" ht="15.75" customHeight="1">
      <c r="C483" s="1"/>
      <c r="D483" s="1"/>
      <c r="E483" s="1"/>
      <c r="F483" s="1"/>
      <c r="G483" s="2"/>
      <c r="H483" s="2"/>
      <c r="P483" s="3"/>
    </row>
    <row r="484" ht="15.75" customHeight="1">
      <c r="C484" s="1"/>
      <c r="D484" s="1"/>
      <c r="E484" s="1"/>
      <c r="F484" s="1"/>
      <c r="G484" s="2"/>
      <c r="H484" s="2"/>
      <c r="P484" s="3"/>
    </row>
    <row r="485" ht="15.75" customHeight="1">
      <c r="C485" s="1"/>
      <c r="D485" s="1"/>
      <c r="E485" s="1"/>
      <c r="F485" s="1"/>
      <c r="G485" s="2"/>
      <c r="H485" s="2"/>
      <c r="P485" s="3"/>
    </row>
    <row r="486" ht="15.75" customHeight="1">
      <c r="C486" s="1"/>
      <c r="D486" s="1"/>
      <c r="E486" s="1"/>
      <c r="F486" s="1"/>
      <c r="G486" s="2"/>
      <c r="H486" s="2"/>
      <c r="P486" s="3"/>
    </row>
    <row r="487" ht="15.75" customHeight="1">
      <c r="C487" s="1"/>
      <c r="D487" s="1"/>
      <c r="E487" s="1"/>
      <c r="F487" s="1"/>
      <c r="G487" s="2"/>
      <c r="H487" s="2"/>
      <c r="P487" s="3"/>
    </row>
    <row r="488" ht="15.75" customHeight="1">
      <c r="C488" s="1"/>
      <c r="D488" s="1"/>
      <c r="E488" s="1"/>
      <c r="F488" s="1"/>
      <c r="G488" s="2"/>
      <c r="H488" s="2"/>
      <c r="P488" s="3"/>
    </row>
    <row r="489" ht="15.75" customHeight="1">
      <c r="C489" s="1"/>
      <c r="D489" s="1"/>
      <c r="E489" s="1"/>
      <c r="F489" s="1"/>
      <c r="G489" s="2"/>
      <c r="H489" s="2"/>
      <c r="P489" s="3"/>
    </row>
    <row r="490" ht="15.75" customHeight="1">
      <c r="C490" s="1"/>
      <c r="D490" s="1"/>
      <c r="E490" s="1"/>
      <c r="F490" s="1"/>
      <c r="G490" s="2"/>
      <c r="H490" s="2"/>
      <c r="P490" s="3"/>
    </row>
    <row r="491" ht="15.75" customHeight="1">
      <c r="C491" s="1"/>
      <c r="D491" s="1"/>
      <c r="E491" s="1"/>
      <c r="F491" s="1"/>
      <c r="G491" s="2"/>
      <c r="H491" s="2"/>
      <c r="P491" s="3"/>
    </row>
    <row r="492" ht="15.75" customHeight="1">
      <c r="C492" s="1"/>
      <c r="D492" s="1"/>
      <c r="E492" s="1"/>
      <c r="F492" s="1"/>
      <c r="G492" s="2"/>
      <c r="H492" s="2"/>
      <c r="P492" s="3"/>
    </row>
    <row r="493" ht="15.75" customHeight="1">
      <c r="C493" s="1"/>
      <c r="D493" s="1"/>
      <c r="E493" s="1"/>
      <c r="F493" s="1"/>
      <c r="G493" s="2"/>
      <c r="H493" s="2"/>
      <c r="P493" s="3"/>
    </row>
    <row r="494" ht="15.75" customHeight="1">
      <c r="C494" s="1"/>
      <c r="D494" s="1"/>
      <c r="E494" s="1"/>
      <c r="F494" s="1"/>
      <c r="G494" s="2"/>
      <c r="H494" s="2"/>
      <c r="P494" s="3"/>
    </row>
    <row r="495" ht="15.75" customHeight="1">
      <c r="C495" s="1"/>
      <c r="D495" s="1"/>
      <c r="E495" s="1"/>
      <c r="F495" s="1"/>
      <c r="G495" s="2"/>
      <c r="H495" s="2"/>
      <c r="P495" s="3"/>
    </row>
    <row r="496" ht="15.75" customHeight="1">
      <c r="C496" s="1"/>
      <c r="D496" s="1"/>
      <c r="E496" s="1"/>
      <c r="F496" s="1"/>
      <c r="G496" s="2"/>
      <c r="H496" s="2"/>
      <c r="P496" s="3"/>
    </row>
    <row r="497" ht="15.75" customHeight="1">
      <c r="C497" s="1"/>
      <c r="D497" s="1"/>
      <c r="E497" s="1"/>
      <c r="F497" s="1"/>
      <c r="G497" s="2"/>
      <c r="H497" s="2"/>
      <c r="P497" s="3"/>
    </row>
    <row r="498" ht="15.75" customHeight="1">
      <c r="C498" s="1"/>
      <c r="D498" s="1"/>
      <c r="E498" s="1"/>
      <c r="F498" s="1"/>
      <c r="G498" s="2"/>
      <c r="H498" s="2"/>
      <c r="P498" s="3"/>
    </row>
    <row r="499" ht="15.75" customHeight="1">
      <c r="C499" s="1"/>
      <c r="D499" s="1"/>
      <c r="E499" s="1"/>
      <c r="F499" s="1"/>
      <c r="G499" s="2"/>
      <c r="H499" s="2"/>
      <c r="P499" s="3"/>
    </row>
    <row r="500" ht="15.75" customHeight="1">
      <c r="C500" s="1"/>
      <c r="D500" s="1"/>
      <c r="E500" s="1"/>
      <c r="F500" s="1"/>
      <c r="G500" s="2"/>
      <c r="H500" s="2"/>
      <c r="P500" s="3"/>
    </row>
    <row r="501" ht="15.75" customHeight="1">
      <c r="C501" s="1"/>
      <c r="D501" s="1"/>
      <c r="E501" s="1"/>
      <c r="F501" s="1"/>
      <c r="G501" s="2"/>
      <c r="H501" s="2"/>
      <c r="P501" s="3"/>
    </row>
    <row r="502" ht="15.75" customHeight="1">
      <c r="C502" s="1"/>
      <c r="D502" s="1"/>
      <c r="E502" s="1"/>
      <c r="F502" s="1"/>
      <c r="G502" s="2"/>
      <c r="H502" s="2"/>
      <c r="P502" s="3"/>
    </row>
    <row r="503" ht="15.75" customHeight="1">
      <c r="C503" s="1"/>
      <c r="D503" s="1"/>
      <c r="E503" s="1"/>
      <c r="F503" s="1"/>
      <c r="G503" s="2"/>
      <c r="H503" s="2"/>
      <c r="P503" s="3"/>
    </row>
    <row r="504" ht="15.75" customHeight="1">
      <c r="C504" s="1"/>
      <c r="D504" s="1"/>
      <c r="E504" s="1"/>
      <c r="F504" s="1"/>
      <c r="G504" s="2"/>
      <c r="H504" s="2"/>
      <c r="P504" s="3"/>
    </row>
    <row r="505" ht="15.75" customHeight="1">
      <c r="C505" s="1"/>
      <c r="D505" s="1"/>
      <c r="E505" s="1"/>
      <c r="F505" s="1"/>
      <c r="G505" s="2"/>
      <c r="H505" s="2"/>
      <c r="P505" s="3"/>
    </row>
    <row r="506" ht="15.75" customHeight="1">
      <c r="C506" s="1"/>
      <c r="D506" s="1"/>
      <c r="E506" s="1"/>
      <c r="F506" s="1"/>
      <c r="G506" s="2"/>
      <c r="H506" s="2"/>
      <c r="P506" s="3"/>
    </row>
    <row r="507" ht="15.75" customHeight="1">
      <c r="C507" s="1"/>
      <c r="D507" s="1"/>
      <c r="E507" s="1"/>
      <c r="F507" s="1"/>
      <c r="G507" s="2"/>
      <c r="H507" s="2"/>
      <c r="P507" s="3"/>
    </row>
    <row r="508" ht="15.75" customHeight="1">
      <c r="C508" s="1"/>
      <c r="D508" s="1"/>
      <c r="E508" s="1"/>
      <c r="F508" s="1"/>
      <c r="G508" s="2"/>
      <c r="H508" s="2"/>
      <c r="P508" s="3"/>
    </row>
    <row r="509" ht="15.75" customHeight="1">
      <c r="C509" s="1"/>
      <c r="D509" s="1"/>
      <c r="E509" s="1"/>
      <c r="F509" s="1"/>
      <c r="G509" s="2"/>
      <c r="H509" s="2"/>
      <c r="P509" s="3"/>
    </row>
    <row r="510" ht="15.75" customHeight="1">
      <c r="C510" s="1"/>
      <c r="D510" s="1"/>
      <c r="E510" s="1"/>
      <c r="F510" s="1"/>
      <c r="G510" s="2"/>
      <c r="H510" s="2"/>
      <c r="P510" s="3"/>
    </row>
    <row r="511" ht="15.75" customHeight="1">
      <c r="C511" s="1"/>
      <c r="D511" s="1"/>
      <c r="E511" s="1"/>
      <c r="F511" s="1"/>
      <c r="G511" s="2"/>
      <c r="H511" s="2"/>
      <c r="P511" s="3"/>
    </row>
    <row r="512" ht="15.75" customHeight="1">
      <c r="C512" s="1"/>
      <c r="D512" s="1"/>
      <c r="E512" s="1"/>
      <c r="F512" s="1"/>
      <c r="G512" s="2"/>
      <c r="H512" s="2"/>
      <c r="P512" s="3"/>
    </row>
    <row r="513" ht="15.75" customHeight="1">
      <c r="C513" s="1"/>
      <c r="D513" s="1"/>
      <c r="E513" s="1"/>
      <c r="F513" s="1"/>
      <c r="G513" s="2"/>
      <c r="H513" s="2"/>
      <c r="P513" s="3"/>
    </row>
    <row r="514" ht="15.75" customHeight="1">
      <c r="C514" s="1"/>
      <c r="D514" s="1"/>
      <c r="E514" s="1"/>
      <c r="F514" s="1"/>
      <c r="G514" s="2"/>
      <c r="H514" s="2"/>
      <c r="P514" s="3"/>
    </row>
    <row r="515" ht="15.75" customHeight="1">
      <c r="C515" s="1"/>
      <c r="D515" s="1"/>
      <c r="E515" s="1"/>
      <c r="F515" s="1"/>
      <c r="G515" s="2"/>
      <c r="H515" s="2"/>
      <c r="P515" s="3"/>
    </row>
    <row r="516" ht="15.75" customHeight="1">
      <c r="C516" s="1"/>
      <c r="D516" s="1"/>
      <c r="E516" s="1"/>
      <c r="F516" s="1"/>
      <c r="G516" s="2"/>
      <c r="H516" s="2"/>
      <c r="P516" s="3"/>
    </row>
    <row r="517" ht="15.75" customHeight="1">
      <c r="C517" s="1"/>
      <c r="D517" s="1"/>
      <c r="E517" s="1"/>
      <c r="F517" s="1"/>
      <c r="G517" s="2"/>
      <c r="H517" s="2"/>
      <c r="P517" s="3"/>
    </row>
    <row r="518" ht="15.75" customHeight="1">
      <c r="C518" s="1"/>
      <c r="D518" s="1"/>
      <c r="E518" s="1"/>
      <c r="F518" s="1"/>
      <c r="G518" s="2"/>
      <c r="H518" s="2"/>
      <c r="P518" s="3"/>
    </row>
    <row r="519" ht="15.75" customHeight="1">
      <c r="C519" s="1"/>
      <c r="D519" s="1"/>
      <c r="E519" s="1"/>
      <c r="F519" s="1"/>
      <c r="G519" s="2"/>
      <c r="H519" s="2"/>
      <c r="P519" s="3"/>
    </row>
    <row r="520" ht="15.75" customHeight="1">
      <c r="C520" s="1"/>
      <c r="D520" s="1"/>
      <c r="E520" s="1"/>
      <c r="F520" s="1"/>
      <c r="G520" s="2"/>
      <c r="H520" s="2"/>
      <c r="P520" s="3"/>
    </row>
    <row r="521" ht="15.75" customHeight="1">
      <c r="C521" s="1"/>
      <c r="D521" s="1"/>
      <c r="E521" s="1"/>
      <c r="F521" s="1"/>
      <c r="G521" s="2"/>
      <c r="H521" s="2"/>
      <c r="P521" s="3"/>
    </row>
    <row r="522" ht="15.75" customHeight="1">
      <c r="C522" s="1"/>
      <c r="D522" s="1"/>
      <c r="E522" s="1"/>
      <c r="F522" s="1"/>
      <c r="G522" s="2"/>
      <c r="H522" s="2"/>
      <c r="P522" s="3"/>
    </row>
    <row r="523" ht="15.75" customHeight="1">
      <c r="C523" s="1"/>
      <c r="D523" s="1"/>
      <c r="E523" s="1"/>
      <c r="F523" s="1"/>
      <c r="G523" s="2"/>
      <c r="H523" s="2"/>
      <c r="P523" s="3"/>
    </row>
    <row r="524" ht="15.75" customHeight="1">
      <c r="C524" s="1"/>
      <c r="D524" s="1"/>
      <c r="E524" s="1"/>
      <c r="F524" s="1"/>
      <c r="G524" s="2"/>
      <c r="H524" s="2"/>
      <c r="P524" s="3"/>
    </row>
    <row r="525" ht="15.75" customHeight="1">
      <c r="C525" s="1"/>
      <c r="D525" s="1"/>
      <c r="E525" s="1"/>
      <c r="F525" s="1"/>
      <c r="G525" s="2"/>
      <c r="H525" s="2"/>
      <c r="P525" s="3"/>
    </row>
    <row r="526" ht="15.75" customHeight="1">
      <c r="C526" s="1"/>
      <c r="D526" s="1"/>
      <c r="E526" s="1"/>
      <c r="F526" s="1"/>
      <c r="G526" s="2"/>
      <c r="H526" s="2"/>
      <c r="P526" s="3"/>
    </row>
    <row r="527" ht="15.75" customHeight="1">
      <c r="C527" s="1"/>
      <c r="D527" s="1"/>
      <c r="E527" s="1"/>
      <c r="F527" s="1"/>
      <c r="G527" s="2"/>
      <c r="H527" s="2"/>
      <c r="P527" s="3"/>
    </row>
    <row r="528" ht="15.75" customHeight="1">
      <c r="C528" s="1"/>
      <c r="D528" s="1"/>
      <c r="E528" s="1"/>
      <c r="F528" s="1"/>
      <c r="G528" s="2"/>
      <c r="H528" s="2"/>
      <c r="P528" s="3"/>
    </row>
    <row r="529" ht="15.75" customHeight="1">
      <c r="C529" s="1"/>
      <c r="D529" s="1"/>
      <c r="E529" s="1"/>
      <c r="F529" s="1"/>
      <c r="G529" s="2"/>
      <c r="H529" s="2"/>
      <c r="P529" s="3"/>
    </row>
    <row r="530" ht="15.75" customHeight="1">
      <c r="C530" s="1"/>
      <c r="D530" s="1"/>
      <c r="E530" s="1"/>
      <c r="F530" s="1"/>
      <c r="G530" s="2"/>
      <c r="H530" s="2"/>
      <c r="P530" s="3"/>
    </row>
    <row r="531" ht="15.75" customHeight="1">
      <c r="C531" s="1"/>
      <c r="D531" s="1"/>
      <c r="E531" s="1"/>
      <c r="F531" s="1"/>
      <c r="G531" s="2"/>
      <c r="H531" s="2"/>
      <c r="P531" s="3"/>
    </row>
    <row r="532" ht="15.75" customHeight="1">
      <c r="C532" s="1"/>
      <c r="D532" s="1"/>
      <c r="E532" s="1"/>
      <c r="F532" s="1"/>
      <c r="G532" s="2"/>
      <c r="H532" s="2"/>
      <c r="P532" s="3"/>
    </row>
    <row r="533" ht="15.75" customHeight="1">
      <c r="C533" s="1"/>
      <c r="D533" s="1"/>
      <c r="E533" s="1"/>
      <c r="F533" s="1"/>
      <c r="G533" s="2"/>
      <c r="H533" s="2"/>
      <c r="P533" s="3"/>
    </row>
    <row r="534" ht="15.75" customHeight="1">
      <c r="C534" s="1"/>
      <c r="D534" s="1"/>
      <c r="E534" s="1"/>
      <c r="F534" s="1"/>
      <c r="G534" s="2"/>
      <c r="H534" s="2"/>
      <c r="P534" s="3"/>
    </row>
    <row r="535" ht="15.75" customHeight="1">
      <c r="C535" s="1"/>
      <c r="D535" s="1"/>
      <c r="E535" s="1"/>
      <c r="F535" s="1"/>
      <c r="G535" s="2"/>
      <c r="H535" s="2"/>
      <c r="P535" s="3"/>
    </row>
    <row r="536" ht="15.75" customHeight="1">
      <c r="C536" s="1"/>
      <c r="D536" s="1"/>
      <c r="E536" s="1"/>
      <c r="F536" s="1"/>
      <c r="G536" s="2"/>
      <c r="H536" s="2"/>
      <c r="P536" s="3"/>
    </row>
    <row r="537" ht="15.75" customHeight="1">
      <c r="C537" s="1"/>
      <c r="D537" s="1"/>
      <c r="E537" s="1"/>
      <c r="F537" s="1"/>
      <c r="G537" s="2"/>
      <c r="H537" s="2"/>
      <c r="P537" s="3"/>
    </row>
    <row r="538" ht="15.75" customHeight="1">
      <c r="C538" s="1"/>
      <c r="D538" s="1"/>
      <c r="E538" s="1"/>
      <c r="F538" s="1"/>
      <c r="G538" s="2"/>
      <c r="H538" s="2"/>
      <c r="P538" s="3"/>
    </row>
    <row r="539" ht="15.75" customHeight="1">
      <c r="C539" s="1"/>
      <c r="D539" s="1"/>
      <c r="E539" s="1"/>
      <c r="F539" s="1"/>
      <c r="G539" s="2"/>
      <c r="H539" s="2"/>
      <c r="P539" s="3"/>
    </row>
    <row r="540" ht="15.75" customHeight="1">
      <c r="C540" s="1"/>
      <c r="D540" s="1"/>
      <c r="E540" s="1"/>
      <c r="F540" s="1"/>
      <c r="G540" s="2"/>
      <c r="H540" s="2"/>
      <c r="P540" s="3"/>
    </row>
    <row r="541" ht="15.75" customHeight="1">
      <c r="C541" s="1"/>
      <c r="D541" s="1"/>
      <c r="E541" s="1"/>
      <c r="F541" s="1"/>
      <c r="G541" s="2"/>
      <c r="H541" s="2"/>
      <c r="P541" s="3"/>
    </row>
    <row r="542" ht="15.75" customHeight="1">
      <c r="C542" s="1"/>
      <c r="D542" s="1"/>
      <c r="E542" s="1"/>
      <c r="F542" s="1"/>
      <c r="G542" s="2"/>
      <c r="H542" s="2"/>
      <c r="P542" s="3"/>
    </row>
    <row r="543" ht="15.75" customHeight="1">
      <c r="C543" s="1"/>
      <c r="D543" s="1"/>
      <c r="E543" s="1"/>
      <c r="F543" s="1"/>
      <c r="G543" s="2"/>
      <c r="H543" s="2"/>
      <c r="P543" s="3"/>
    </row>
    <row r="544" ht="15.75" customHeight="1">
      <c r="C544" s="1"/>
      <c r="D544" s="1"/>
      <c r="E544" s="1"/>
      <c r="F544" s="1"/>
      <c r="G544" s="2"/>
      <c r="H544" s="2"/>
      <c r="P544" s="3"/>
    </row>
    <row r="545" ht="15.75" customHeight="1">
      <c r="C545" s="1"/>
      <c r="D545" s="1"/>
      <c r="E545" s="1"/>
      <c r="F545" s="1"/>
      <c r="G545" s="2"/>
      <c r="H545" s="2"/>
      <c r="P545" s="3"/>
    </row>
    <row r="546" ht="15.75" customHeight="1">
      <c r="C546" s="1"/>
      <c r="D546" s="1"/>
      <c r="E546" s="1"/>
      <c r="F546" s="1"/>
      <c r="G546" s="2"/>
      <c r="H546" s="2"/>
      <c r="P546" s="3"/>
    </row>
    <row r="547" ht="15.75" customHeight="1">
      <c r="C547" s="1"/>
      <c r="D547" s="1"/>
      <c r="E547" s="1"/>
      <c r="F547" s="1"/>
      <c r="G547" s="2"/>
      <c r="H547" s="2"/>
      <c r="P547" s="3"/>
    </row>
    <row r="548" ht="15.75" customHeight="1">
      <c r="C548" s="1"/>
      <c r="D548" s="1"/>
      <c r="E548" s="1"/>
      <c r="F548" s="1"/>
      <c r="G548" s="2"/>
      <c r="H548" s="2"/>
      <c r="P548" s="3"/>
    </row>
    <row r="549" ht="15.75" customHeight="1">
      <c r="C549" s="1"/>
      <c r="D549" s="1"/>
      <c r="E549" s="1"/>
      <c r="F549" s="1"/>
      <c r="G549" s="2"/>
      <c r="H549" s="2"/>
      <c r="P549" s="3"/>
    </row>
    <row r="550" ht="15.75" customHeight="1">
      <c r="C550" s="1"/>
      <c r="D550" s="1"/>
      <c r="E550" s="1"/>
      <c r="F550" s="1"/>
      <c r="G550" s="2"/>
      <c r="H550" s="2"/>
      <c r="P550" s="3"/>
    </row>
    <row r="551" ht="15.75" customHeight="1">
      <c r="C551" s="1"/>
      <c r="D551" s="1"/>
      <c r="E551" s="1"/>
      <c r="F551" s="1"/>
      <c r="G551" s="2"/>
      <c r="H551" s="2"/>
      <c r="P551" s="3"/>
    </row>
    <row r="552" ht="15.75" customHeight="1">
      <c r="C552" s="1"/>
      <c r="D552" s="1"/>
      <c r="E552" s="1"/>
      <c r="F552" s="1"/>
      <c r="G552" s="2"/>
      <c r="H552" s="2"/>
      <c r="P552" s="3"/>
    </row>
    <row r="553" ht="15.75" customHeight="1">
      <c r="C553" s="1"/>
      <c r="D553" s="1"/>
      <c r="E553" s="1"/>
      <c r="F553" s="1"/>
      <c r="G553" s="2"/>
      <c r="H553" s="2"/>
      <c r="P553" s="3"/>
    </row>
    <row r="554" ht="15.75" customHeight="1">
      <c r="C554" s="1"/>
      <c r="D554" s="1"/>
      <c r="E554" s="1"/>
      <c r="F554" s="1"/>
      <c r="G554" s="2"/>
      <c r="H554" s="2"/>
      <c r="P554" s="3"/>
    </row>
    <row r="555" ht="15.75" customHeight="1">
      <c r="C555" s="1"/>
      <c r="D555" s="1"/>
      <c r="E555" s="1"/>
      <c r="F555" s="1"/>
      <c r="G555" s="2"/>
      <c r="H555" s="2"/>
      <c r="P555" s="3"/>
    </row>
    <row r="556" ht="15.75" customHeight="1">
      <c r="C556" s="1"/>
      <c r="D556" s="1"/>
      <c r="E556" s="1"/>
      <c r="F556" s="1"/>
      <c r="G556" s="2"/>
      <c r="H556" s="2"/>
      <c r="P556" s="3"/>
    </row>
    <row r="557" ht="15.75" customHeight="1">
      <c r="C557" s="1"/>
      <c r="D557" s="1"/>
      <c r="E557" s="1"/>
      <c r="F557" s="1"/>
      <c r="G557" s="2"/>
      <c r="H557" s="2"/>
      <c r="P557" s="3"/>
    </row>
    <row r="558" ht="15.75" customHeight="1">
      <c r="C558" s="1"/>
      <c r="D558" s="1"/>
      <c r="E558" s="1"/>
      <c r="F558" s="1"/>
      <c r="G558" s="2"/>
      <c r="H558" s="2"/>
      <c r="P558" s="3"/>
    </row>
    <row r="559" ht="15.75" customHeight="1">
      <c r="C559" s="1"/>
      <c r="D559" s="1"/>
      <c r="E559" s="1"/>
      <c r="F559" s="1"/>
      <c r="G559" s="2"/>
      <c r="H559" s="2"/>
      <c r="P559" s="3"/>
    </row>
    <row r="560" ht="15.75" customHeight="1">
      <c r="C560" s="1"/>
      <c r="D560" s="1"/>
      <c r="E560" s="1"/>
      <c r="F560" s="1"/>
      <c r="G560" s="2"/>
      <c r="H560" s="2"/>
      <c r="P560" s="3"/>
    </row>
    <row r="561" ht="15.75" customHeight="1">
      <c r="C561" s="1"/>
      <c r="D561" s="1"/>
      <c r="E561" s="1"/>
      <c r="F561" s="1"/>
      <c r="G561" s="2"/>
      <c r="H561" s="2"/>
      <c r="P561" s="3"/>
    </row>
    <row r="562" ht="15.75" customHeight="1">
      <c r="C562" s="1"/>
      <c r="D562" s="1"/>
      <c r="E562" s="1"/>
      <c r="F562" s="1"/>
      <c r="G562" s="2"/>
      <c r="H562" s="2"/>
      <c r="P562" s="3"/>
    </row>
    <row r="563" ht="15.75" customHeight="1">
      <c r="C563" s="1"/>
      <c r="D563" s="1"/>
      <c r="E563" s="1"/>
      <c r="F563" s="1"/>
      <c r="G563" s="2"/>
      <c r="H563" s="2"/>
      <c r="P563" s="3"/>
    </row>
    <row r="564" ht="15.75" customHeight="1">
      <c r="C564" s="1"/>
      <c r="D564" s="1"/>
      <c r="E564" s="1"/>
      <c r="F564" s="1"/>
      <c r="G564" s="2"/>
      <c r="H564" s="2"/>
      <c r="P564" s="3"/>
    </row>
    <row r="565" ht="15.75" customHeight="1">
      <c r="C565" s="1"/>
      <c r="D565" s="1"/>
      <c r="E565" s="1"/>
      <c r="F565" s="1"/>
      <c r="G565" s="2"/>
      <c r="H565" s="2"/>
      <c r="P565" s="3"/>
    </row>
    <row r="566" ht="15.75" customHeight="1">
      <c r="C566" s="1"/>
      <c r="D566" s="1"/>
      <c r="E566" s="1"/>
      <c r="F566" s="1"/>
      <c r="G566" s="2"/>
      <c r="H566" s="2"/>
      <c r="P566" s="3"/>
    </row>
    <row r="567" ht="15.75" customHeight="1">
      <c r="C567" s="1"/>
      <c r="D567" s="1"/>
      <c r="E567" s="1"/>
      <c r="F567" s="1"/>
      <c r="G567" s="2"/>
      <c r="H567" s="2"/>
      <c r="P567" s="3"/>
    </row>
    <row r="568" ht="15.75" customHeight="1">
      <c r="C568" s="1"/>
      <c r="D568" s="1"/>
      <c r="E568" s="1"/>
      <c r="F568" s="1"/>
      <c r="G568" s="2"/>
      <c r="H568" s="2"/>
      <c r="P568" s="3"/>
    </row>
    <row r="569" ht="15.75" customHeight="1">
      <c r="C569" s="1"/>
      <c r="D569" s="1"/>
      <c r="E569" s="1"/>
      <c r="F569" s="1"/>
      <c r="G569" s="2"/>
      <c r="H569" s="2"/>
      <c r="P569" s="3"/>
    </row>
    <row r="570" ht="15.75" customHeight="1">
      <c r="C570" s="1"/>
      <c r="D570" s="1"/>
      <c r="E570" s="1"/>
      <c r="F570" s="1"/>
      <c r="G570" s="2"/>
      <c r="H570" s="2"/>
      <c r="P570" s="3"/>
    </row>
    <row r="571" ht="15.75" customHeight="1">
      <c r="C571" s="1"/>
      <c r="D571" s="1"/>
      <c r="E571" s="1"/>
      <c r="F571" s="1"/>
      <c r="G571" s="2"/>
      <c r="H571" s="2"/>
      <c r="P571" s="3"/>
    </row>
    <row r="572" ht="15.75" customHeight="1">
      <c r="C572" s="1"/>
      <c r="D572" s="1"/>
      <c r="E572" s="1"/>
      <c r="F572" s="1"/>
      <c r="G572" s="2"/>
      <c r="H572" s="2"/>
      <c r="P572" s="3"/>
    </row>
    <row r="573" ht="15.75" customHeight="1">
      <c r="C573" s="1"/>
      <c r="D573" s="1"/>
      <c r="E573" s="1"/>
      <c r="F573" s="1"/>
      <c r="G573" s="2"/>
      <c r="H573" s="2"/>
      <c r="P573" s="3"/>
    </row>
    <row r="574" ht="15.75" customHeight="1">
      <c r="C574" s="1"/>
      <c r="D574" s="1"/>
      <c r="E574" s="1"/>
      <c r="F574" s="1"/>
      <c r="G574" s="2"/>
      <c r="H574" s="2"/>
      <c r="P574" s="3"/>
    </row>
    <row r="575" ht="15.75" customHeight="1">
      <c r="C575" s="1"/>
      <c r="D575" s="1"/>
      <c r="E575" s="1"/>
      <c r="F575" s="1"/>
      <c r="G575" s="2"/>
      <c r="H575" s="2"/>
      <c r="P575" s="3"/>
    </row>
    <row r="576" ht="15.75" customHeight="1">
      <c r="C576" s="1"/>
      <c r="D576" s="1"/>
      <c r="E576" s="1"/>
      <c r="F576" s="1"/>
      <c r="G576" s="2"/>
      <c r="H576" s="2"/>
      <c r="P576" s="3"/>
    </row>
    <row r="577" ht="15.75" customHeight="1">
      <c r="C577" s="1"/>
      <c r="D577" s="1"/>
      <c r="E577" s="1"/>
      <c r="F577" s="1"/>
      <c r="G577" s="2"/>
      <c r="H577" s="2"/>
      <c r="P577" s="3"/>
    </row>
    <row r="578" ht="15.75" customHeight="1">
      <c r="C578" s="1"/>
      <c r="D578" s="1"/>
      <c r="E578" s="1"/>
      <c r="F578" s="1"/>
      <c r="G578" s="2"/>
      <c r="H578" s="2"/>
      <c r="P578" s="3"/>
    </row>
    <row r="579" ht="15.75" customHeight="1">
      <c r="C579" s="1"/>
      <c r="D579" s="1"/>
      <c r="E579" s="1"/>
      <c r="F579" s="1"/>
      <c r="G579" s="2"/>
      <c r="H579" s="2"/>
      <c r="P579" s="3"/>
    </row>
    <row r="580" ht="15.75" customHeight="1">
      <c r="C580" s="1"/>
      <c r="D580" s="1"/>
      <c r="E580" s="1"/>
      <c r="F580" s="1"/>
      <c r="G580" s="2"/>
      <c r="H580" s="2"/>
      <c r="P580" s="3"/>
    </row>
    <row r="581" ht="15.75" customHeight="1">
      <c r="C581" s="1"/>
      <c r="D581" s="1"/>
      <c r="E581" s="1"/>
      <c r="F581" s="1"/>
      <c r="G581" s="2"/>
      <c r="H581" s="2"/>
      <c r="P581" s="3"/>
    </row>
    <row r="582" ht="15.75" customHeight="1">
      <c r="C582" s="1"/>
      <c r="D582" s="1"/>
      <c r="E582" s="1"/>
      <c r="F582" s="1"/>
      <c r="G582" s="2"/>
      <c r="H582" s="2"/>
      <c r="P582" s="3"/>
    </row>
    <row r="583" ht="15.75" customHeight="1">
      <c r="C583" s="1"/>
      <c r="D583" s="1"/>
      <c r="E583" s="1"/>
      <c r="F583" s="1"/>
      <c r="G583" s="2"/>
      <c r="H583" s="2"/>
      <c r="P583" s="3"/>
    </row>
    <row r="584" ht="15.75" customHeight="1">
      <c r="C584" s="1"/>
      <c r="D584" s="1"/>
      <c r="E584" s="1"/>
      <c r="F584" s="1"/>
      <c r="G584" s="2"/>
      <c r="H584" s="2"/>
      <c r="P584" s="3"/>
    </row>
    <row r="585" ht="15.75" customHeight="1">
      <c r="C585" s="1"/>
      <c r="D585" s="1"/>
      <c r="E585" s="1"/>
      <c r="F585" s="1"/>
      <c r="G585" s="2"/>
      <c r="H585" s="2"/>
      <c r="P585" s="3"/>
    </row>
    <row r="586" ht="15.75" customHeight="1">
      <c r="C586" s="1"/>
      <c r="D586" s="1"/>
      <c r="E586" s="1"/>
      <c r="F586" s="1"/>
      <c r="G586" s="2"/>
      <c r="H586" s="2"/>
      <c r="P586" s="3"/>
    </row>
    <row r="587" ht="15.75" customHeight="1">
      <c r="C587" s="1"/>
      <c r="D587" s="1"/>
      <c r="E587" s="1"/>
      <c r="F587" s="1"/>
      <c r="G587" s="2"/>
      <c r="H587" s="2"/>
      <c r="P587" s="3"/>
    </row>
    <row r="588" ht="15.75" customHeight="1">
      <c r="C588" s="1"/>
      <c r="D588" s="1"/>
      <c r="E588" s="1"/>
      <c r="F588" s="1"/>
      <c r="G588" s="2"/>
      <c r="H588" s="2"/>
      <c r="P588" s="3"/>
    </row>
    <row r="589" ht="15.75" customHeight="1">
      <c r="C589" s="1"/>
      <c r="D589" s="1"/>
      <c r="E589" s="1"/>
      <c r="F589" s="1"/>
      <c r="G589" s="2"/>
      <c r="H589" s="2"/>
      <c r="P589" s="3"/>
    </row>
    <row r="590" ht="15.75" customHeight="1">
      <c r="C590" s="1"/>
      <c r="D590" s="1"/>
      <c r="E590" s="1"/>
      <c r="F590" s="1"/>
      <c r="G590" s="2"/>
      <c r="H590" s="2"/>
      <c r="P590" s="3"/>
    </row>
    <row r="591" ht="15.75" customHeight="1">
      <c r="C591" s="1"/>
      <c r="D591" s="1"/>
      <c r="E591" s="1"/>
      <c r="F591" s="1"/>
      <c r="G591" s="2"/>
      <c r="H591" s="2"/>
      <c r="P591" s="3"/>
    </row>
    <row r="592" ht="15.75" customHeight="1">
      <c r="C592" s="1"/>
      <c r="D592" s="1"/>
      <c r="E592" s="1"/>
      <c r="F592" s="1"/>
      <c r="G592" s="2"/>
      <c r="H592" s="2"/>
      <c r="P592" s="3"/>
    </row>
    <row r="593" ht="15.75" customHeight="1">
      <c r="C593" s="1"/>
      <c r="D593" s="1"/>
      <c r="E593" s="1"/>
      <c r="F593" s="1"/>
      <c r="G593" s="2"/>
      <c r="H593" s="2"/>
      <c r="P593" s="3"/>
    </row>
    <row r="594" ht="15.75" customHeight="1">
      <c r="C594" s="1"/>
      <c r="D594" s="1"/>
      <c r="E594" s="1"/>
      <c r="F594" s="1"/>
      <c r="G594" s="2"/>
      <c r="H594" s="2"/>
      <c r="P594" s="3"/>
    </row>
    <row r="595" ht="15.75" customHeight="1">
      <c r="C595" s="1"/>
      <c r="D595" s="1"/>
      <c r="E595" s="1"/>
      <c r="F595" s="1"/>
      <c r="G595" s="2"/>
      <c r="H595" s="2"/>
      <c r="P595" s="3"/>
    </row>
    <row r="596" ht="15.75" customHeight="1">
      <c r="C596" s="1"/>
      <c r="D596" s="1"/>
      <c r="E596" s="1"/>
      <c r="F596" s="1"/>
      <c r="G596" s="2"/>
      <c r="H596" s="2"/>
      <c r="P596" s="3"/>
    </row>
    <row r="597" ht="15.75" customHeight="1">
      <c r="C597" s="1"/>
      <c r="D597" s="1"/>
      <c r="E597" s="1"/>
      <c r="F597" s="1"/>
      <c r="G597" s="2"/>
      <c r="H597" s="2"/>
      <c r="P597" s="3"/>
    </row>
    <row r="598" ht="15.75" customHeight="1">
      <c r="C598" s="1"/>
      <c r="D598" s="1"/>
      <c r="E598" s="1"/>
      <c r="F598" s="1"/>
      <c r="G598" s="2"/>
      <c r="H598" s="2"/>
      <c r="P598" s="3"/>
    </row>
    <row r="599" ht="15.75" customHeight="1">
      <c r="C599" s="1"/>
      <c r="D599" s="1"/>
      <c r="E599" s="1"/>
      <c r="F599" s="1"/>
      <c r="G599" s="2"/>
      <c r="H599" s="2"/>
      <c r="P599" s="3"/>
    </row>
    <row r="600" ht="15.75" customHeight="1">
      <c r="C600" s="1"/>
      <c r="D600" s="1"/>
      <c r="E600" s="1"/>
      <c r="F600" s="1"/>
      <c r="G600" s="2"/>
      <c r="H600" s="2"/>
      <c r="P600" s="3"/>
    </row>
    <row r="601" ht="15.75" customHeight="1">
      <c r="C601" s="1"/>
      <c r="D601" s="1"/>
      <c r="E601" s="1"/>
      <c r="F601" s="1"/>
      <c r="G601" s="2"/>
      <c r="H601" s="2"/>
      <c r="P601" s="3"/>
    </row>
    <row r="602" ht="15.75" customHeight="1">
      <c r="C602" s="1"/>
      <c r="D602" s="1"/>
      <c r="E602" s="1"/>
      <c r="F602" s="1"/>
      <c r="G602" s="2"/>
      <c r="H602" s="2"/>
      <c r="P602" s="3"/>
    </row>
    <row r="603" ht="15.75" customHeight="1">
      <c r="C603" s="1"/>
      <c r="D603" s="1"/>
      <c r="E603" s="1"/>
      <c r="F603" s="1"/>
      <c r="G603" s="2"/>
      <c r="H603" s="2"/>
      <c r="P603" s="3"/>
    </row>
    <row r="604" ht="15.75" customHeight="1">
      <c r="C604" s="1"/>
      <c r="D604" s="1"/>
      <c r="E604" s="1"/>
      <c r="F604" s="1"/>
      <c r="G604" s="2"/>
      <c r="H604" s="2"/>
      <c r="P604" s="3"/>
    </row>
    <row r="605" ht="15.75" customHeight="1">
      <c r="C605" s="1"/>
      <c r="D605" s="1"/>
      <c r="E605" s="1"/>
      <c r="F605" s="1"/>
      <c r="G605" s="2"/>
      <c r="H605" s="2"/>
      <c r="P605" s="3"/>
    </row>
    <row r="606" ht="15.75" customHeight="1">
      <c r="C606" s="1"/>
      <c r="D606" s="1"/>
      <c r="E606" s="1"/>
      <c r="F606" s="1"/>
      <c r="G606" s="2"/>
      <c r="H606" s="2"/>
      <c r="P606" s="3"/>
    </row>
    <row r="607" ht="15.75" customHeight="1">
      <c r="C607" s="1"/>
      <c r="D607" s="1"/>
      <c r="E607" s="1"/>
      <c r="F607" s="1"/>
      <c r="G607" s="2"/>
      <c r="H607" s="2"/>
      <c r="P607" s="3"/>
    </row>
    <row r="608" ht="15.75" customHeight="1">
      <c r="C608" s="1"/>
      <c r="D608" s="1"/>
      <c r="E608" s="1"/>
      <c r="F608" s="1"/>
      <c r="G608" s="2"/>
      <c r="H608" s="2"/>
      <c r="P608" s="3"/>
    </row>
    <row r="609" ht="15.75" customHeight="1">
      <c r="C609" s="1"/>
      <c r="D609" s="1"/>
      <c r="E609" s="1"/>
      <c r="F609" s="1"/>
      <c r="G609" s="2"/>
      <c r="H609" s="2"/>
      <c r="P609" s="3"/>
    </row>
    <row r="610" ht="15.75" customHeight="1">
      <c r="C610" s="1"/>
      <c r="D610" s="1"/>
      <c r="E610" s="1"/>
      <c r="F610" s="1"/>
      <c r="G610" s="2"/>
      <c r="H610" s="2"/>
      <c r="P610" s="3"/>
    </row>
    <row r="611" ht="15.75" customHeight="1">
      <c r="C611" s="1"/>
      <c r="D611" s="1"/>
      <c r="E611" s="1"/>
      <c r="F611" s="1"/>
      <c r="G611" s="2"/>
      <c r="H611" s="2"/>
      <c r="P611" s="3"/>
    </row>
    <row r="612" ht="15.75" customHeight="1">
      <c r="C612" s="1"/>
      <c r="D612" s="1"/>
      <c r="E612" s="1"/>
      <c r="F612" s="1"/>
      <c r="G612" s="2"/>
      <c r="H612" s="2"/>
      <c r="P612" s="3"/>
    </row>
    <row r="613" ht="15.75" customHeight="1">
      <c r="C613" s="1"/>
      <c r="D613" s="1"/>
      <c r="E613" s="1"/>
      <c r="F613" s="1"/>
      <c r="G613" s="2"/>
      <c r="H613" s="2"/>
      <c r="P613" s="3"/>
    </row>
    <row r="614" ht="15.75" customHeight="1">
      <c r="C614" s="1"/>
      <c r="D614" s="1"/>
      <c r="E614" s="1"/>
      <c r="F614" s="1"/>
      <c r="G614" s="2"/>
      <c r="H614" s="2"/>
      <c r="P614" s="3"/>
    </row>
    <row r="615" ht="15.75" customHeight="1">
      <c r="C615" s="1"/>
      <c r="D615" s="1"/>
      <c r="E615" s="1"/>
      <c r="F615" s="1"/>
      <c r="G615" s="2"/>
      <c r="H615" s="2"/>
      <c r="P615" s="3"/>
    </row>
    <row r="616" ht="15.75" customHeight="1">
      <c r="C616" s="1"/>
      <c r="D616" s="1"/>
      <c r="E616" s="1"/>
      <c r="F616" s="1"/>
      <c r="G616" s="2"/>
      <c r="H616" s="2"/>
      <c r="P616" s="3"/>
    </row>
    <row r="617" ht="15.75" customHeight="1">
      <c r="C617" s="1"/>
      <c r="D617" s="1"/>
      <c r="E617" s="1"/>
      <c r="F617" s="1"/>
      <c r="G617" s="2"/>
      <c r="H617" s="2"/>
      <c r="P617" s="3"/>
    </row>
    <row r="618" ht="15.75" customHeight="1">
      <c r="C618" s="1"/>
      <c r="D618" s="1"/>
      <c r="E618" s="1"/>
      <c r="F618" s="1"/>
      <c r="G618" s="2"/>
      <c r="H618" s="2"/>
      <c r="P618" s="3"/>
    </row>
    <row r="619" ht="15.75" customHeight="1">
      <c r="C619" s="1"/>
      <c r="D619" s="1"/>
      <c r="E619" s="1"/>
      <c r="F619" s="1"/>
      <c r="G619" s="2"/>
      <c r="H619" s="2"/>
      <c r="P619" s="3"/>
    </row>
    <row r="620" ht="15.75" customHeight="1">
      <c r="C620" s="1"/>
      <c r="D620" s="1"/>
      <c r="E620" s="1"/>
      <c r="F620" s="1"/>
      <c r="G620" s="2"/>
      <c r="H620" s="2"/>
      <c r="P620" s="3"/>
    </row>
    <row r="621" ht="15.75" customHeight="1">
      <c r="C621" s="1"/>
      <c r="D621" s="1"/>
      <c r="E621" s="1"/>
      <c r="F621" s="1"/>
      <c r="G621" s="2"/>
      <c r="H621" s="2"/>
      <c r="P621" s="3"/>
    </row>
    <row r="622" ht="15.75" customHeight="1">
      <c r="C622" s="1"/>
      <c r="D622" s="1"/>
      <c r="E622" s="1"/>
      <c r="F622" s="1"/>
      <c r="G622" s="2"/>
      <c r="H622" s="2"/>
      <c r="P622" s="3"/>
    </row>
    <row r="623" ht="15.75" customHeight="1">
      <c r="C623" s="1"/>
      <c r="D623" s="1"/>
      <c r="E623" s="1"/>
      <c r="F623" s="1"/>
      <c r="G623" s="2"/>
      <c r="H623" s="2"/>
      <c r="P623" s="3"/>
    </row>
    <row r="624" ht="15.75" customHeight="1">
      <c r="C624" s="1"/>
      <c r="D624" s="1"/>
      <c r="E624" s="1"/>
      <c r="F624" s="1"/>
      <c r="G624" s="2"/>
      <c r="H624" s="2"/>
      <c r="P624" s="3"/>
    </row>
    <row r="625" ht="15.75" customHeight="1">
      <c r="C625" s="1"/>
      <c r="D625" s="1"/>
      <c r="E625" s="1"/>
      <c r="F625" s="1"/>
      <c r="G625" s="2"/>
      <c r="H625" s="2"/>
      <c r="P625" s="3"/>
    </row>
    <row r="626" ht="15.75" customHeight="1">
      <c r="C626" s="1"/>
      <c r="D626" s="1"/>
      <c r="E626" s="1"/>
      <c r="F626" s="1"/>
      <c r="G626" s="2"/>
      <c r="H626" s="2"/>
      <c r="P626" s="3"/>
    </row>
    <row r="627" ht="15.75" customHeight="1">
      <c r="C627" s="1"/>
      <c r="D627" s="1"/>
      <c r="E627" s="1"/>
      <c r="F627" s="1"/>
      <c r="G627" s="2"/>
      <c r="H627" s="2"/>
      <c r="P627" s="3"/>
    </row>
    <row r="628" ht="15.75" customHeight="1">
      <c r="C628" s="1"/>
      <c r="D628" s="1"/>
      <c r="E628" s="1"/>
      <c r="F628" s="1"/>
      <c r="G628" s="2"/>
      <c r="H628" s="2"/>
      <c r="P628" s="3"/>
    </row>
    <row r="629" ht="15.75" customHeight="1">
      <c r="C629" s="1"/>
      <c r="D629" s="1"/>
      <c r="E629" s="1"/>
      <c r="F629" s="1"/>
      <c r="G629" s="2"/>
      <c r="H629" s="2"/>
      <c r="P629" s="3"/>
    </row>
    <row r="630" ht="15.75" customHeight="1">
      <c r="C630" s="1"/>
      <c r="D630" s="1"/>
      <c r="E630" s="1"/>
      <c r="F630" s="1"/>
      <c r="G630" s="2"/>
      <c r="H630" s="2"/>
      <c r="P630" s="3"/>
    </row>
    <row r="631" ht="15.75" customHeight="1">
      <c r="C631" s="1"/>
      <c r="D631" s="1"/>
      <c r="E631" s="1"/>
      <c r="F631" s="1"/>
      <c r="G631" s="2"/>
      <c r="H631" s="2"/>
      <c r="P631" s="3"/>
    </row>
    <row r="632" ht="15.75" customHeight="1">
      <c r="C632" s="1"/>
      <c r="D632" s="1"/>
      <c r="E632" s="1"/>
      <c r="F632" s="1"/>
      <c r="G632" s="2"/>
      <c r="H632" s="2"/>
      <c r="P632" s="3"/>
    </row>
    <row r="633" ht="15.75" customHeight="1">
      <c r="C633" s="1"/>
      <c r="D633" s="1"/>
      <c r="E633" s="1"/>
      <c r="F633" s="1"/>
      <c r="G633" s="2"/>
      <c r="H633" s="2"/>
      <c r="P633" s="3"/>
    </row>
    <row r="634" ht="15.75" customHeight="1">
      <c r="C634" s="1"/>
      <c r="D634" s="1"/>
      <c r="E634" s="1"/>
      <c r="F634" s="1"/>
      <c r="G634" s="2"/>
      <c r="H634" s="2"/>
      <c r="P634" s="3"/>
    </row>
    <row r="635" ht="15.75" customHeight="1">
      <c r="C635" s="1"/>
      <c r="D635" s="1"/>
      <c r="E635" s="1"/>
      <c r="F635" s="1"/>
      <c r="G635" s="2"/>
      <c r="H635" s="2"/>
      <c r="P635" s="3"/>
    </row>
    <row r="636" ht="15.75" customHeight="1">
      <c r="C636" s="1"/>
      <c r="D636" s="1"/>
      <c r="E636" s="1"/>
      <c r="F636" s="1"/>
      <c r="G636" s="2"/>
      <c r="H636" s="2"/>
      <c r="P636" s="3"/>
    </row>
    <row r="637" ht="15.75" customHeight="1">
      <c r="C637" s="1"/>
      <c r="D637" s="1"/>
      <c r="E637" s="1"/>
      <c r="F637" s="1"/>
      <c r="G637" s="2"/>
      <c r="H637" s="2"/>
      <c r="P637" s="3"/>
    </row>
    <row r="638" ht="15.75" customHeight="1">
      <c r="C638" s="1"/>
      <c r="D638" s="1"/>
      <c r="E638" s="1"/>
      <c r="F638" s="1"/>
      <c r="G638" s="2"/>
      <c r="H638" s="2"/>
      <c r="P638" s="3"/>
    </row>
    <row r="639" ht="15.75" customHeight="1">
      <c r="C639" s="1"/>
      <c r="D639" s="1"/>
      <c r="E639" s="1"/>
      <c r="F639" s="1"/>
      <c r="G639" s="2"/>
      <c r="H639" s="2"/>
      <c r="P639" s="3"/>
    </row>
    <row r="640" ht="15.75" customHeight="1">
      <c r="C640" s="1"/>
      <c r="D640" s="1"/>
      <c r="E640" s="1"/>
      <c r="F640" s="1"/>
      <c r="G640" s="2"/>
      <c r="H640" s="2"/>
      <c r="P640" s="3"/>
    </row>
    <row r="641" ht="15.75" customHeight="1">
      <c r="C641" s="1"/>
      <c r="D641" s="1"/>
      <c r="E641" s="1"/>
      <c r="F641" s="1"/>
      <c r="G641" s="2"/>
      <c r="H641" s="2"/>
      <c r="P641" s="3"/>
    </row>
    <row r="642" ht="15.75" customHeight="1">
      <c r="C642" s="1"/>
      <c r="D642" s="1"/>
      <c r="E642" s="1"/>
      <c r="F642" s="1"/>
      <c r="G642" s="2"/>
      <c r="H642" s="2"/>
      <c r="P642" s="3"/>
    </row>
    <row r="643" ht="15.75" customHeight="1">
      <c r="C643" s="1"/>
      <c r="D643" s="1"/>
      <c r="E643" s="1"/>
      <c r="F643" s="1"/>
      <c r="G643" s="2"/>
      <c r="H643" s="2"/>
      <c r="P643" s="3"/>
    </row>
    <row r="644" ht="15.75" customHeight="1">
      <c r="C644" s="1"/>
      <c r="D644" s="1"/>
      <c r="E644" s="1"/>
      <c r="F644" s="1"/>
      <c r="G644" s="2"/>
      <c r="H644" s="2"/>
      <c r="P644" s="3"/>
    </row>
    <row r="645" ht="15.75" customHeight="1">
      <c r="C645" s="1"/>
      <c r="D645" s="1"/>
      <c r="E645" s="1"/>
      <c r="F645" s="1"/>
      <c r="G645" s="2"/>
      <c r="H645" s="2"/>
      <c r="P645" s="3"/>
    </row>
    <row r="646" ht="15.75" customHeight="1">
      <c r="C646" s="1"/>
      <c r="D646" s="1"/>
      <c r="E646" s="1"/>
      <c r="F646" s="1"/>
      <c r="G646" s="2"/>
      <c r="H646" s="2"/>
      <c r="P646" s="3"/>
    </row>
    <row r="647" ht="15.75" customHeight="1">
      <c r="C647" s="1"/>
      <c r="D647" s="1"/>
      <c r="E647" s="1"/>
      <c r="F647" s="1"/>
      <c r="G647" s="2"/>
      <c r="H647" s="2"/>
      <c r="P647" s="3"/>
    </row>
    <row r="648" ht="15.75" customHeight="1">
      <c r="C648" s="1"/>
      <c r="D648" s="1"/>
      <c r="E648" s="1"/>
      <c r="F648" s="1"/>
      <c r="G648" s="2"/>
      <c r="H648" s="2"/>
      <c r="P648" s="3"/>
    </row>
    <row r="649" ht="15.75" customHeight="1">
      <c r="C649" s="1"/>
      <c r="D649" s="1"/>
      <c r="E649" s="1"/>
      <c r="F649" s="1"/>
      <c r="G649" s="2"/>
      <c r="H649" s="2"/>
      <c r="P649" s="3"/>
    </row>
    <row r="650" ht="15.75" customHeight="1">
      <c r="C650" s="1"/>
      <c r="D650" s="1"/>
      <c r="E650" s="1"/>
      <c r="F650" s="1"/>
      <c r="G650" s="2"/>
      <c r="H650" s="2"/>
      <c r="P650" s="3"/>
    </row>
    <row r="651" ht="15.75" customHeight="1">
      <c r="C651" s="1"/>
      <c r="D651" s="1"/>
      <c r="E651" s="1"/>
      <c r="F651" s="1"/>
      <c r="G651" s="2"/>
      <c r="H651" s="2"/>
      <c r="P651" s="3"/>
    </row>
    <row r="652" ht="15.75" customHeight="1">
      <c r="C652" s="1"/>
      <c r="D652" s="1"/>
      <c r="E652" s="1"/>
      <c r="F652" s="1"/>
      <c r="G652" s="2"/>
      <c r="H652" s="2"/>
      <c r="P652" s="3"/>
    </row>
    <row r="653" ht="15.75" customHeight="1">
      <c r="C653" s="1"/>
      <c r="D653" s="1"/>
      <c r="E653" s="1"/>
      <c r="F653" s="1"/>
      <c r="G653" s="2"/>
      <c r="H653" s="2"/>
      <c r="P653" s="3"/>
    </row>
    <row r="654" ht="15.75" customHeight="1">
      <c r="C654" s="1"/>
      <c r="D654" s="1"/>
      <c r="E654" s="1"/>
      <c r="F654" s="1"/>
      <c r="G654" s="2"/>
      <c r="H654" s="2"/>
      <c r="P654" s="3"/>
    </row>
    <row r="655" ht="15.75" customHeight="1">
      <c r="C655" s="1"/>
      <c r="D655" s="1"/>
      <c r="E655" s="1"/>
      <c r="F655" s="1"/>
      <c r="G655" s="2"/>
      <c r="H655" s="2"/>
      <c r="P655" s="3"/>
    </row>
    <row r="656" ht="15.75" customHeight="1">
      <c r="C656" s="1"/>
      <c r="D656" s="1"/>
      <c r="E656" s="1"/>
      <c r="F656" s="1"/>
      <c r="G656" s="2"/>
      <c r="H656" s="2"/>
      <c r="P656" s="3"/>
    </row>
    <row r="657" ht="15.75" customHeight="1">
      <c r="C657" s="1"/>
      <c r="D657" s="1"/>
      <c r="E657" s="1"/>
      <c r="F657" s="1"/>
      <c r="G657" s="2"/>
      <c r="H657" s="2"/>
      <c r="P657" s="3"/>
    </row>
    <row r="658" ht="15.75" customHeight="1">
      <c r="C658" s="1"/>
      <c r="D658" s="1"/>
      <c r="E658" s="1"/>
      <c r="F658" s="1"/>
      <c r="G658" s="2"/>
      <c r="H658" s="2"/>
      <c r="P658" s="3"/>
    </row>
    <row r="659" ht="15.75" customHeight="1">
      <c r="C659" s="1"/>
      <c r="D659" s="1"/>
      <c r="E659" s="1"/>
      <c r="F659" s="1"/>
      <c r="G659" s="2"/>
      <c r="H659" s="2"/>
      <c r="P659" s="3"/>
    </row>
    <row r="660" ht="15.75" customHeight="1">
      <c r="C660" s="1"/>
      <c r="D660" s="1"/>
      <c r="E660" s="1"/>
      <c r="F660" s="1"/>
      <c r="G660" s="2"/>
      <c r="H660" s="2"/>
      <c r="P660" s="3"/>
    </row>
    <row r="661" ht="15.75" customHeight="1">
      <c r="C661" s="1"/>
      <c r="D661" s="1"/>
      <c r="E661" s="1"/>
      <c r="F661" s="1"/>
      <c r="G661" s="2"/>
      <c r="H661" s="2"/>
      <c r="P661" s="3"/>
    </row>
    <row r="662" ht="15.75" customHeight="1">
      <c r="C662" s="1"/>
      <c r="D662" s="1"/>
      <c r="E662" s="1"/>
      <c r="F662" s="1"/>
      <c r="G662" s="2"/>
      <c r="H662" s="2"/>
      <c r="P662" s="3"/>
    </row>
    <row r="663" ht="15.75" customHeight="1">
      <c r="C663" s="1"/>
      <c r="D663" s="1"/>
      <c r="E663" s="1"/>
      <c r="F663" s="1"/>
      <c r="G663" s="2"/>
      <c r="H663" s="2"/>
      <c r="P663" s="3"/>
    </row>
    <row r="664" ht="15.75" customHeight="1">
      <c r="C664" s="1"/>
      <c r="D664" s="1"/>
      <c r="E664" s="1"/>
      <c r="F664" s="1"/>
      <c r="G664" s="2"/>
      <c r="H664" s="2"/>
      <c r="P664" s="3"/>
    </row>
    <row r="665" ht="15.75" customHeight="1">
      <c r="C665" s="1"/>
      <c r="D665" s="1"/>
      <c r="E665" s="1"/>
      <c r="F665" s="1"/>
      <c r="G665" s="2"/>
      <c r="H665" s="2"/>
      <c r="P665" s="3"/>
    </row>
    <row r="666" ht="15.75" customHeight="1">
      <c r="C666" s="1"/>
      <c r="D666" s="1"/>
      <c r="E666" s="1"/>
      <c r="F666" s="1"/>
      <c r="G666" s="2"/>
      <c r="H666" s="2"/>
      <c r="P666" s="3"/>
    </row>
    <row r="667" ht="15.75" customHeight="1">
      <c r="C667" s="1"/>
      <c r="D667" s="1"/>
      <c r="E667" s="1"/>
      <c r="F667" s="1"/>
      <c r="G667" s="2"/>
      <c r="H667" s="2"/>
      <c r="P667" s="3"/>
    </row>
    <row r="668" ht="15.75" customHeight="1">
      <c r="C668" s="1"/>
      <c r="D668" s="1"/>
      <c r="E668" s="1"/>
      <c r="F668" s="1"/>
      <c r="G668" s="2"/>
      <c r="H668" s="2"/>
      <c r="P668" s="3"/>
    </row>
    <row r="669" ht="15.75" customHeight="1">
      <c r="C669" s="1"/>
      <c r="D669" s="1"/>
      <c r="E669" s="1"/>
      <c r="F669" s="1"/>
      <c r="G669" s="2"/>
      <c r="H669" s="2"/>
      <c r="P669" s="3"/>
    </row>
    <row r="670" ht="15.75" customHeight="1">
      <c r="C670" s="1"/>
      <c r="D670" s="1"/>
      <c r="E670" s="1"/>
      <c r="F670" s="1"/>
      <c r="G670" s="2"/>
      <c r="H670" s="2"/>
      <c r="P670" s="3"/>
    </row>
    <row r="671" ht="15.75" customHeight="1">
      <c r="C671" s="1"/>
      <c r="D671" s="1"/>
      <c r="E671" s="1"/>
      <c r="F671" s="1"/>
      <c r="G671" s="2"/>
      <c r="H671" s="2"/>
      <c r="P671" s="3"/>
    </row>
    <row r="672" ht="15.75" customHeight="1">
      <c r="C672" s="1"/>
      <c r="D672" s="1"/>
      <c r="E672" s="1"/>
      <c r="F672" s="1"/>
      <c r="G672" s="2"/>
      <c r="H672" s="2"/>
      <c r="P672" s="3"/>
    </row>
    <row r="673" ht="15.75" customHeight="1">
      <c r="C673" s="1"/>
      <c r="D673" s="1"/>
      <c r="E673" s="1"/>
      <c r="F673" s="1"/>
      <c r="G673" s="2"/>
      <c r="H673" s="2"/>
      <c r="P673" s="3"/>
    </row>
    <row r="674" ht="15.75" customHeight="1">
      <c r="C674" s="1"/>
      <c r="D674" s="1"/>
      <c r="E674" s="1"/>
      <c r="F674" s="1"/>
      <c r="G674" s="2"/>
      <c r="H674" s="2"/>
      <c r="P674" s="3"/>
    </row>
    <row r="675" ht="15.75" customHeight="1">
      <c r="C675" s="1"/>
      <c r="D675" s="1"/>
      <c r="E675" s="1"/>
      <c r="F675" s="1"/>
      <c r="G675" s="2"/>
      <c r="H675" s="2"/>
      <c r="P675" s="3"/>
    </row>
    <row r="676" ht="15.75" customHeight="1">
      <c r="C676" s="1"/>
      <c r="D676" s="1"/>
      <c r="E676" s="1"/>
      <c r="F676" s="1"/>
      <c r="G676" s="2"/>
      <c r="H676" s="2"/>
      <c r="P676" s="3"/>
    </row>
    <row r="677" ht="15.75" customHeight="1">
      <c r="C677" s="1"/>
      <c r="D677" s="1"/>
      <c r="E677" s="1"/>
      <c r="F677" s="1"/>
      <c r="G677" s="2"/>
      <c r="H677" s="2"/>
      <c r="P677" s="3"/>
    </row>
    <row r="678" ht="15.75" customHeight="1">
      <c r="C678" s="1"/>
      <c r="D678" s="1"/>
      <c r="E678" s="1"/>
      <c r="F678" s="1"/>
      <c r="G678" s="2"/>
      <c r="H678" s="2"/>
      <c r="P678" s="3"/>
    </row>
    <row r="679" ht="15.75" customHeight="1">
      <c r="C679" s="1"/>
      <c r="D679" s="1"/>
      <c r="E679" s="1"/>
      <c r="F679" s="1"/>
      <c r="G679" s="2"/>
      <c r="H679" s="2"/>
      <c r="P679" s="3"/>
    </row>
    <row r="680" ht="15.75" customHeight="1">
      <c r="C680" s="1"/>
      <c r="D680" s="1"/>
      <c r="E680" s="1"/>
      <c r="F680" s="1"/>
      <c r="G680" s="2"/>
      <c r="H680" s="2"/>
      <c r="P680" s="3"/>
    </row>
    <row r="681" ht="15.75" customHeight="1">
      <c r="C681" s="1"/>
      <c r="D681" s="1"/>
      <c r="E681" s="1"/>
      <c r="F681" s="1"/>
      <c r="G681" s="2"/>
      <c r="H681" s="2"/>
      <c r="P681" s="3"/>
    </row>
    <row r="682" ht="15.75" customHeight="1">
      <c r="C682" s="1"/>
      <c r="D682" s="1"/>
      <c r="E682" s="1"/>
      <c r="F682" s="1"/>
      <c r="G682" s="2"/>
      <c r="H682" s="2"/>
      <c r="P682" s="3"/>
    </row>
    <row r="683" ht="15.75" customHeight="1">
      <c r="C683" s="1"/>
      <c r="D683" s="1"/>
      <c r="E683" s="1"/>
      <c r="F683" s="1"/>
      <c r="G683" s="2"/>
      <c r="H683" s="2"/>
      <c r="P683" s="3"/>
    </row>
    <row r="684" ht="15.75" customHeight="1">
      <c r="C684" s="1"/>
      <c r="D684" s="1"/>
      <c r="E684" s="1"/>
      <c r="F684" s="1"/>
      <c r="G684" s="2"/>
      <c r="H684" s="2"/>
      <c r="P684" s="3"/>
    </row>
    <row r="685" ht="15.75" customHeight="1">
      <c r="C685" s="1"/>
      <c r="D685" s="1"/>
      <c r="E685" s="1"/>
      <c r="F685" s="1"/>
      <c r="G685" s="2"/>
      <c r="H685" s="2"/>
      <c r="P685" s="3"/>
    </row>
    <row r="686" ht="15.75" customHeight="1">
      <c r="C686" s="1"/>
      <c r="D686" s="1"/>
      <c r="E686" s="1"/>
      <c r="F686" s="1"/>
      <c r="G686" s="2"/>
      <c r="H686" s="2"/>
      <c r="P686" s="3"/>
    </row>
    <row r="687" ht="15.75" customHeight="1">
      <c r="C687" s="1"/>
      <c r="D687" s="1"/>
      <c r="E687" s="1"/>
      <c r="F687" s="1"/>
      <c r="G687" s="2"/>
      <c r="H687" s="2"/>
      <c r="P687" s="3"/>
    </row>
    <row r="688" ht="15.75" customHeight="1">
      <c r="C688" s="1"/>
      <c r="D688" s="1"/>
      <c r="E688" s="1"/>
      <c r="F688" s="1"/>
      <c r="G688" s="2"/>
      <c r="H688" s="2"/>
      <c r="P688" s="3"/>
    </row>
    <row r="689" ht="15.75" customHeight="1">
      <c r="C689" s="1"/>
      <c r="D689" s="1"/>
      <c r="E689" s="1"/>
      <c r="F689" s="1"/>
      <c r="G689" s="2"/>
      <c r="H689" s="2"/>
      <c r="P689" s="3"/>
    </row>
    <row r="690" ht="15.75" customHeight="1">
      <c r="C690" s="1"/>
      <c r="D690" s="1"/>
      <c r="E690" s="1"/>
      <c r="F690" s="1"/>
      <c r="G690" s="2"/>
      <c r="H690" s="2"/>
      <c r="P690" s="3"/>
    </row>
    <row r="691" ht="15.75" customHeight="1">
      <c r="C691" s="1"/>
      <c r="D691" s="1"/>
      <c r="E691" s="1"/>
      <c r="F691" s="1"/>
      <c r="G691" s="2"/>
      <c r="H691" s="2"/>
      <c r="P691" s="3"/>
    </row>
    <row r="692" ht="15.75" customHeight="1">
      <c r="C692" s="1"/>
      <c r="D692" s="1"/>
      <c r="E692" s="1"/>
      <c r="F692" s="1"/>
      <c r="G692" s="2"/>
      <c r="H692" s="2"/>
      <c r="P692" s="3"/>
    </row>
    <row r="693" ht="15.75" customHeight="1">
      <c r="C693" s="1"/>
      <c r="D693" s="1"/>
      <c r="E693" s="1"/>
      <c r="F693" s="1"/>
      <c r="G693" s="2"/>
      <c r="H693" s="2"/>
      <c r="P693" s="3"/>
    </row>
    <row r="694" ht="15.75" customHeight="1">
      <c r="C694" s="1"/>
      <c r="D694" s="1"/>
      <c r="E694" s="1"/>
      <c r="F694" s="1"/>
      <c r="G694" s="2"/>
      <c r="H694" s="2"/>
      <c r="P694" s="3"/>
    </row>
    <row r="695" ht="15.75" customHeight="1">
      <c r="C695" s="1"/>
      <c r="D695" s="1"/>
      <c r="E695" s="1"/>
      <c r="F695" s="1"/>
      <c r="G695" s="2"/>
      <c r="H695" s="2"/>
      <c r="P695" s="3"/>
    </row>
    <row r="696" ht="15.75" customHeight="1">
      <c r="C696" s="1"/>
      <c r="D696" s="1"/>
      <c r="E696" s="1"/>
      <c r="F696" s="1"/>
      <c r="G696" s="2"/>
      <c r="H696" s="2"/>
      <c r="P696" s="3"/>
    </row>
    <row r="697" ht="15.75" customHeight="1">
      <c r="C697" s="1"/>
      <c r="D697" s="1"/>
      <c r="E697" s="1"/>
      <c r="F697" s="1"/>
      <c r="G697" s="2"/>
      <c r="H697" s="2"/>
      <c r="P697" s="3"/>
    </row>
    <row r="698" ht="15.75" customHeight="1">
      <c r="C698" s="1"/>
      <c r="D698" s="1"/>
      <c r="E698" s="1"/>
      <c r="F698" s="1"/>
      <c r="G698" s="2"/>
      <c r="H698" s="2"/>
      <c r="P698" s="3"/>
    </row>
    <row r="699" ht="15.75" customHeight="1">
      <c r="C699" s="1"/>
      <c r="D699" s="1"/>
      <c r="E699" s="1"/>
      <c r="F699" s="1"/>
      <c r="G699" s="2"/>
      <c r="H699" s="2"/>
      <c r="P699" s="3"/>
    </row>
    <row r="700" ht="15.75" customHeight="1">
      <c r="C700" s="1"/>
      <c r="D700" s="1"/>
      <c r="E700" s="1"/>
      <c r="F700" s="1"/>
      <c r="G700" s="2"/>
      <c r="H700" s="2"/>
      <c r="P700" s="3"/>
    </row>
    <row r="701" ht="15.75" customHeight="1">
      <c r="C701" s="1"/>
      <c r="D701" s="1"/>
      <c r="E701" s="1"/>
      <c r="F701" s="1"/>
      <c r="G701" s="2"/>
      <c r="H701" s="2"/>
      <c r="P701" s="3"/>
    </row>
    <row r="702" ht="15.75" customHeight="1">
      <c r="C702" s="1"/>
      <c r="D702" s="1"/>
      <c r="E702" s="1"/>
      <c r="F702" s="1"/>
      <c r="G702" s="2"/>
      <c r="H702" s="2"/>
      <c r="P702" s="3"/>
    </row>
    <row r="703" ht="15.75" customHeight="1">
      <c r="C703" s="1"/>
      <c r="D703" s="1"/>
      <c r="E703" s="1"/>
      <c r="F703" s="1"/>
      <c r="G703" s="2"/>
      <c r="H703" s="2"/>
      <c r="P703" s="3"/>
    </row>
    <row r="704" ht="15.75" customHeight="1">
      <c r="C704" s="1"/>
      <c r="D704" s="1"/>
      <c r="E704" s="1"/>
      <c r="F704" s="1"/>
      <c r="G704" s="2"/>
      <c r="H704" s="2"/>
      <c r="P704" s="3"/>
    </row>
    <row r="705" ht="15.75" customHeight="1">
      <c r="C705" s="1"/>
      <c r="D705" s="1"/>
      <c r="E705" s="1"/>
      <c r="F705" s="1"/>
      <c r="G705" s="2"/>
      <c r="H705" s="2"/>
      <c r="P705" s="3"/>
    </row>
    <row r="706" ht="15.75" customHeight="1">
      <c r="C706" s="1"/>
      <c r="D706" s="1"/>
      <c r="E706" s="1"/>
      <c r="F706" s="1"/>
      <c r="G706" s="2"/>
      <c r="H706" s="2"/>
      <c r="P706" s="3"/>
    </row>
    <row r="707" ht="15.75" customHeight="1">
      <c r="C707" s="1"/>
      <c r="D707" s="1"/>
      <c r="E707" s="1"/>
      <c r="F707" s="1"/>
      <c r="G707" s="2"/>
      <c r="H707" s="2"/>
      <c r="P707" s="3"/>
    </row>
    <row r="708" ht="15.75" customHeight="1">
      <c r="C708" s="1"/>
      <c r="D708" s="1"/>
      <c r="E708" s="1"/>
      <c r="F708" s="1"/>
      <c r="G708" s="2"/>
      <c r="H708" s="2"/>
      <c r="P708" s="3"/>
    </row>
    <row r="709" ht="15.75" customHeight="1">
      <c r="C709" s="1"/>
      <c r="D709" s="1"/>
      <c r="E709" s="1"/>
      <c r="F709" s="1"/>
      <c r="G709" s="2"/>
      <c r="H709" s="2"/>
      <c r="P709" s="3"/>
    </row>
    <row r="710" ht="15.75" customHeight="1">
      <c r="C710" s="1"/>
      <c r="D710" s="1"/>
      <c r="E710" s="1"/>
      <c r="F710" s="1"/>
      <c r="G710" s="2"/>
      <c r="H710" s="2"/>
      <c r="P710" s="3"/>
    </row>
    <row r="711" ht="15.75" customHeight="1">
      <c r="C711" s="1"/>
      <c r="D711" s="1"/>
      <c r="E711" s="1"/>
      <c r="F711" s="1"/>
      <c r="G711" s="2"/>
      <c r="H711" s="2"/>
      <c r="P711" s="3"/>
    </row>
    <row r="712" ht="15.75" customHeight="1">
      <c r="C712" s="1"/>
      <c r="D712" s="1"/>
      <c r="E712" s="1"/>
      <c r="F712" s="1"/>
      <c r="G712" s="2"/>
      <c r="H712" s="2"/>
      <c r="P712" s="3"/>
    </row>
    <row r="713" ht="15.75" customHeight="1">
      <c r="C713" s="1"/>
      <c r="D713" s="1"/>
      <c r="E713" s="1"/>
      <c r="F713" s="1"/>
      <c r="G713" s="2"/>
      <c r="H713" s="2"/>
      <c r="P713" s="3"/>
    </row>
    <row r="714" ht="15.75" customHeight="1">
      <c r="C714" s="1"/>
      <c r="D714" s="1"/>
      <c r="E714" s="1"/>
      <c r="F714" s="1"/>
      <c r="G714" s="2"/>
      <c r="H714" s="2"/>
      <c r="P714" s="3"/>
    </row>
    <row r="715" ht="15.75" customHeight="1">
      <c r="C715" s="1"/>
      <c r="D715" s="1"/>
      <c r="E715" s="1"/>
      <c r="F715" s="1"/>
      <c r="G715" s="2"/>
      <c r="H715" s="2"/>
      <c r="P715" s="3"/>
    </row>
    <row r="716" ht="15.75" customHeight="1">
      <c r="C716" s="1"/>
      <c r="D716" s="1"/>
      <c r="E716" s="1"/>
      <c r="F716" s="1"/>
      <c r="G716" s="2"/>
      <c r="H716" s="2"/>
      <c r="P716" s="3"/>
    </row>
    <row r="717" ht="15.75" customHeight="1">
      <c r="C717" s="1"/>
      <c r="D717" s="1"/>
      <c r="E717" s="1"/>
      <c r="F717" s="1"/>
      <c r="G717" s="2"/>
      <c r="H717" s="2"/>
      <c r="P717" s="3"/>
    </row>
    <row r="718" ht="15.75" customHeight="1">
      <c r="C718" s="1"/>
      <c r="D718" s="1"/>
      <c r="E718" s="1"/>
      <c r="F718" s="1"/>
      <c r="G718" s="2"/>
      <c r="H718" s="2"/>
      <c r="P718" s="3"/>
    </row>
    <row r="719" ht="15.75" customHeight="1">
      <c r="C719" s="1"/>
      <c r="D719" s="1"/>
      <c r="E719" s="1"/>
      <c r="F719" s="1"/>
      <c r="G719" s="2"/>
      <c r="H719" s="2"/>
      <c r="P719" s="3"/>
    </row>
    <row r="720" ht="15.75" customHeight="1">
      <c r="C720" s="1"/>
      <c r="D720" s="1"/>
      <c r="E720" s="1"/>
      <c r="F720" s="1"/>
      <c r="G720" s="2"/>
      <c r="H720" s="2"/>
      <c r="P720" s="3"/>
    </row>
    <row r="721" ht="15.75" customHeight="1">
      <c r="C721" s="1"/>
      <c r="D721" s="1"/>
      <c r="E721" s="1"/>
      <c r="F721" s="1"/>
      <c r="G721" s="2"/>
      <c r="H721" s="2"/>
      <c r="P721" s="3"/>
    </row>
    <row r="722" ht="15.75" customHeight="1">
      <c r="C722" s="1"/>
      <c r="D722" s="1"/>
      <c r="E722" s="1"/>
      <c r="F722" s="1"/>
      <c r="G722" s="2"/>
      <c r="H722" s="2"/>
      <c r="P722" s="3"/>
    </row>
    <row r="723" ht="15.75" customHeight="1">
      <c r="C723" s="1"/>
      <c r="D723" s="1"/>
      <c r="E723" s="1"/>
      <c r="F723" s="1"/>
      <c r="G723" s="2"/>
      <c r="H723" s="2"/>
      <c r="P723" s="3"/>
    </row>
    <row r="724" ht="15.75" customHeight="1">
      <c r="C724" s="1"/>
      <c r="D724" s="1"/>
      <c r="E724" s="1"/>
      <c r="F724" s="1"/>
      <c r="G724" s="2"/>
      <c r="H724" s="2"/>
      <c r="P724" s="3"/>
    </row>
    <row r="725" ht="15.75" customHeight="1">
      <c r="C725" s="1"/>
      <c r="D725" s="1"/>
      <c r="E725" s="1"/>
      <c r="F725" s="1"/>
      <c r="G725" s="2"/>
      <c r="H725" s="2"/>
      <c r="P725" s="3"/>
    </row>
    <row r="726" ht="15.75" customHeight="1">
      <c r="C726" s="1"/>
      <c r="D726" s="1"/>
      <c r="E726" s="1"/>
      <c r="F726" s="1"/>
      <c r="G726" s="2"/>
      <c r="H726" s="2"/>
      <c r="P726" s="3"/>
    </row>
    <row r="727" ht="15.75" customHeight="1">
      <c r="C727" s="1"/>
      <c r="D727" s="1"/>
      <c r="E727" s="1"/>
      <c r="F727" s="1"/>
      <c r="G727" s="2"/>
      <c r="H727" s="2"/>
      <c r="P727" s="3"/>
    </row>
    <row r="728" ht="15.75" customHeight="1">
      <c r="C728" s="1"/>
      <c r="D728" s="1"/>
      <c r="E728" s="1"/>
      <c r="F728" s="1"/>
      <c r="G728" s="2"/>
      <c r="H728" s="2"/>
      <c r="P728" s="3"/>
    </row>
    <row r="729" ht="15.75" customHeight="1">
      <c r="C729" s="1"/>
      <c r="D729" s="1"/>
      <c r="E729" s="1"/>
      <c r="F729" s="1"/>
      <c r="G729" s="2"/>
      <c r="H729" s="2"/>
      <c r="P729" s="3"/>
    </row>
    <row r="730" ht="15.75" customHeight="1">
      <c r="C730" s="1"/>
      <c r="D730" s="1"/>
      <c r="E730" s="1"/>
      <c r="F730" s="1"/>
      <c r="G730" s="2"/>
      <c r="H730" s="2"/>
      <c r="P730" s="3"/>
    </row>
    <row r="731" ht="15.75" customHeight="1">
      <c r="C731" s="1"/>
      <c r="D731" s="1"/>
      <c r="E731" s="1"/>
      <c r="F731" s="1"/>
      <c r="G731" s="2"/>
      <c r="H731" s="2"/>
      <c r="P731" s="3"/>
    </row>
    <row r="732" ht="15.75" customHeight="1">
      <c r="C732" s="1"/>
      <c r="D732" s="1"/>
      <c r="E732" s="1"/>
      <c r="F732" s="1"/>
      <c r="G732" s="2"/>
      <c r="H732" s="2"/>
      <c r="P732" s="3"/>
    </row>
    <row r="733" ht="15.75" customHeight="1">
      <c r="C733" s="1"/>
      <c r="D733" s="1"/>
      <c r="E733" s="1"/>
      <c r="F733" s="1"/>
      <c r="G733" s="2"/>
      <c r="H733" s="2"/>
      <c r="P733" s="3"/>
    </row>
    <row r="734" ht="15.75" customHeight="1">
      <c r="C734" s="1"/>
      <c r="D734" s="1"/>
      <c r="E734" s="1"/>
      <c r="F734" s="1"/>
      <c r="G734" s="2"/>
      <c r="H734" s="2"/>
      <c r="P734" s="3"/>
    </row>
    <row r="735" ht="15.75" customHeight="1">
      <c r="C735" s="1"/>
      <c r="D735" s="1"/>
      <c r="E735" s="1"/>
      <c r="F735" s="1"/>
      <c r="G735" s="2"/>
      <c r="H735" s="2"/>
      <c r="P735" s="3"/>
    </row>
    <row r="736" ht="15.75" customHeight="1">
      <c r="C736" s="1"/>
      <c r="D736" s="1"/>
      <c r="E736" s="1"/>
      <c r="F736" s="1"/>
      <c r="G736" s="2"/>
      <c r="H736" s="2"/>
      <c r="P736" s="3"/>
    </row>
    <row r="737" ht="15.75" customHeight="1">
      <c r="C737" s="1"/>
      <c r="D737" s="1"/>
      <c r="E737" s="1"/>
      <c r="F737" s="1"/>
      <c r="G737" s="2"/>
      <c r="H737" s="2"/>
      <c r="P737" s="3"/>
    </row>
    <row r="738" ht="15.75" customHeight="1">
      <c r="C738" s="1"/>
      <c r="D738" s="1"/>
      <c r="E738" s="1"/>
      <c r="F738" s="1"/>
      <c r="G738" s="2"/>
      <c r="H738" s="2"/>
      <c r="P738" s="3"/>
    </row>
    <row r="739" ht="15.75" customHeight="1">
      <c r="C739" s="1"/>
      <c r="D739" s="1"/>
      <c r="E739" s="1"/>
      <c r="F739" s="1"/>
      <c r="G739" s="2"/>
      <c r="H739" s="2"/>
      <c r="P739" s="3"/>
    </row>
    <row r="740" ht="15.75" customHeight="1">
      <c r="C740" s="1"/>
      <c r="D740" s="1"/>
      <c r="E740" s="1"/>
      <c r="F740" s="1"/>
      <c r="G740" s="2"/>
      <c r="H740" s="2"/>
      <c r="P740" s="3"/>
    </row>
    <row r="741" ht="15.75" customHeight="1">
      <c r="C741" s="1"/>
      <c r="D741" s="1"/>
      <c r="E741" s="1"/>
      <c r="F741" s="1"/>
      <c r="G741" s="2"/>
      <c r="H741" s="2"/>
      <c r="P741" s="3"/>
    </row>
    <row r="742" ht="15.75" customHeight="1">
      <c r="C742" s="1"/>
      <c r="D742" s="1"/>
      <c r="E742" s="1"/>
      <c r="F742" s="1"/>
      <c r="G742" s="2"/>
      <c r="H742" s="2"/>
      <c r="P742" s="3"/>
    </row>
    <row r="743" ht="15.75" customHeight="1">
      <c r="C743" s="1"/>
      <c r="D743" s="1"/>
      <c r="E743" s="1"/>
      <c r="F743" s="1"/>
      <c r="G743" s="2"/>
      <c r="H743" s="2"/>
      <c r="P743" s="3"/>
    </row>
    <row r="744" ht="15.75" customHeight="1">
      <c r="C744" s="1"/>
      <c r="D744" s="1"/>
      <c r="E744" s="1"/>
      <c r="F744" s="1"/>
      <c r="G744" s="2"/>
      <c r="H744" s="2"/>
      <c r="P744" s="3"/>
    </row>
    <row r="745" ht="15.75" customHeight="1">
      <c r="C745" s="1"/>
      <c r="D745" s="1"/>
      <c r="E745" s="1"/>
      <c r="F745" s="1"/>
      <c r="G745" s="2"/>
      <c r="H745" s="2"/>
      <c r="P745" s="3"/>
    </row>
    <row r="746" ht="15.75" customHeight="1">
      <c r="C746" s="1"/>
      <c r="D746" s="1"/>
      <c r="E746" s="1"/>
      <c r="F746" s="1"/>
      <c r="G746" s="2"/>
      <c r="H746" s="2"/>
      <c r="P746" s="3"/>
    </row>
    <row r="747" ht="15.75" customHeight="1">
      <c r="C747" s="1"/>
      <c r="D747" s="1"/>
      <c r="E747" s="1"/>
      <c r="F747" s="1"/>
      <c r="G747" s="2"/>
      <c r="H747" s="2"/>
      <c r="P747" s="3"/>
    </row>
    <row r="748" ht="15.75" customHeight="1">
      <c r="C748" s="1"/>
      <c r="D748" s="1"/>
      <c r="E748" s="1"/>
      <c r="F748" s="1"/>
      <c r="G748" s="2"/>
      <c r="H748" s="2"/>
      <c r="P748" s="3"/>
    </row>
    <row r="749" ht="15.75" customHeight="1">
      <c r="C749" s="1"/>
      <c r="D749" s="1"/>
      <c r="E749" s="1"/>
      <c r="F749" s="1"/>
      <c r="G749" s="2"/>
      <c r="H749" s="2"/>
      <c r="P749" s="3"/>
    </row>
    <row r="750" ht="15.75" customHeight="1">
      <c r="C750" s="1"/>
      <c r="D750" s="1"/>
      <c r="E750" s="1"/>
      <c r="F750" s="1"/>
      <c r="G750" s="2"/>
      <c r="H750" s="2"/>
      <c r="P750" s="3"/>
    </row>
    <row r="751" ht="15.75" customHeight="1">
      <c r="C751" s="1"/>
      <c r="D751" s="1"/>
      <c r="E751" s="1"/>
      <c r="F751" s="1"/>
      <c r="G751" s="2"/>
      <c r="H751" s="2"/>
      <c r="P751" s="3"/>
    </row>
    <row r="752" ht="15.75" customHeight="1">
      <c r="C752" s="1"/>
      <c r="D752" s="1"/>
      <c r="E752" s="1"/>
      <c r="F752" s="1"/>
      <c r="G752" s="2"/>
      <c r="H752" s="2"/>
      <c r="P752" s="3"/>
    </row>
    <row r="753" ht="15.75" customHeight="1">
      <c r="C753" s="1"/>
      <c r="D753" s="1"/>
      <c r="E753" s="1"/>
      <c r="F753" s="1"/>
      <c r="G753" s="2"/>
      <c r="H753" s="2"/>
      <c r="P753" s="3"/>
    </row>
    <row r="754" ht="15.75" customHeight="1">
      <c r="C754" s="1"/>
      <c r="D754" s="1"/>
      <c r="E754" s="1"/>
      <c r="F754" s="1"/>
      <c r="G754" s="2"/>
      <c r="H754" s="2"/>
      <c r="P754" s="3"/>
    </row>
    <row r="755" ht="15.75" customHeight="1">
      <c r="C755" s="1"/>
      <c r="D755" s="1"/>
      <c r="E755" s="1"/>
      <c r="F755" s="1"/>
      <c r="G755" s="2"/>
      <c r="H755" s="2"/>
      <c r="P755" s="3"/>
    </row>
    <row r="756" ht="15.75" customHeight="1">
      <c r="C756" s="1"/>
      <c r="D756" s="1"/>
      <c r="E756" s="1"/>
      <c r="F756" s="1"/>
      <c r="G756" s="2"/>
      <c r="H756" s="2"/>
      <c r="P756" s="3"/>
    </row>
    <row r="757" ht="15.75" customHeight="1">
      <c r="C757" s="1"/>
      <c r="D757" s="1"/>
      <c r="E757" s="1"/>
      <c r="F757" s="1"/>
      <c r="G757" s="2"/>
      <c r="H757" s="2"/>
      <c r="P757" s="3"/>
    </row>
    <row r="758" ht="15.75" customHeight="1">
      <c r="C758" s="1"/>
      <c r="D758" s="1"/>
      <c r="E758" s="1"/>
      <c r="F758" s="1"/>
      <c r="G758" s="2"/>
      <c r="H758" s="2"/>
      <c r="P758" s="3"/>
    </row>
    <row r="759" ht="15.75" customHeight="1">
      <c r="C759" s="1"/>
      <c r="D759" s="1"/>
      <c r="E759" s="1"/>
      <c r="F759" s="1"/>
      <c r="G759" s="2"/>
      <c r="H759" s="2"/>
      <c r="P759" s="3"/>
    </row>
    <row r="760" ht="15.75" customHeight="1">
      <c r="C760" s="1"/>
      <c r="D760" s="1"/>
      <c r="E760" s="1"/>
      <c r="F760" s="1"/>
      <c r="G760" s="2"/>
      <c r="H760" s="2"/>
      <c r="P760" s="3"/>
    </row>
    <row r="761" ht="15.75" customHeight="1">
      <c r="C761" s="1"/>
      <c r="D761" s="1"/>
      <c r="E761" s="1"/>
      <c r="F761" s="1"/>
      <c r="G761" s="2"/>
      <c r="H761" s="2"/>
      <c r="P761" s="3"/>
    </row>
    <row r="762" ht="15.75" customHeight="1">
      <c r="C762" s="1"/>
      <c r="D762" s="1"/>
      <c r="E762" s="1"/>
      <c r="F762" s="1"/>
      <c r="G762" s="2"/>
      <c r="H762" s="2"/>
      <c r="P762" s="3"/>
    </row>
    <row r="763" ht="15.75" customHeight="1">
      <c r="C763" s="1"/>
      <c r="D763" s="1"/>
      <c r="E763" s="1"/>
      <c r="F763" s="1"/>
      <c r="G763" s="2"/>
      <c r="H763" s="2"/>
      <c r="P763" s="3"/>
    </row>
    <row r="764" ht="15.75" customHeight="1">
      <c r="C764" s="1"/>
      <c r="D764" s="1"/>
      <c r="E764" s="1"/>
      <c r="F764" s="1"/>
      <c r="G764" s="2"/>
      <c r="H764" s="2"/>
      <c r="P764" s="3"/>
    </row>
    <row r="765" ht="15.75" customHeight="1">
      <c r="C765" s="1"/>
      <c r="D765" s="1"/>
      <c r="E765" s="1"/>
      <c r="F765" s="1"/>
      <c r="G765" s="2"/>
      <c r="H765" s="2"/>
      <c r="P765" s="3"/>
    </row>
    <row r="766" ht="15.75" customHeight="1">
      <c r="C766" s="1"/>
      <c r="D766" s="1"/>
      <c r="E766" s="1"/>
      <c r="F766" s="1"/>
      <c r="G766" s="2"/>
      <c r="H766" s="2"/>
      <c r="P766" s="3"/>
    </row>
    <row r="767" ht="15.75" customHeight="1">
      <c r="C767" s="1"/>
      <c r="D767" s="1"/>
      <c r="E767" s="1"/>
      <c r="F767" s="1"/>
      <c r="G767" s="2"/>
      <c r="H767" s="2"/>
      <c r="P767" s="3"/>
    </row>
    <row r="768" ht="15.75" customHeight="1">
      <c r="C768" s="1"/>
      <c r="D768" s="1"/>
      <c r="E768" s="1"/>
      <c r="F768" s="1"/>
      <c r="G768" s="2"/>
      <c r="H768" s="2"/>
      <c r="P768" s="3"/>
    </row>
    <row r="769" ht="15.75" customHeight="1">
      <c r="C769" s="1"/>
      <c r="D769" s="1"/>
      <c r="E769" s="1"/>
      <c r="F769" s="1"/>
      <c r="G769" s="2"/>
      <c r="H769" s="2"/>
      <c r="P769" s="3"/>
    </row>
    <row r="770" ht="15.75" customHeight="1">
      <c r="C770" s="1"/>
      <c r="D770" s="1"/>
      <c r="E770" s="1"/>
      <c r="F770" s="1"/>
      <c r="G770" s="2"/>
      <c r="H770" s="2"/>
      <c r="P770" s="3"/>
    </row>
    <row r="771" ht="15.75" customHeight="1">
      <c r="C771" s="1"/>
      <c r="D771" s="1"/>
      <c r="E771" s="1"/>
      <c r="F771" s="1"/>
      <c r="G771" s="2"/>
      <c r="H771" s="2"/>
      <c r="P771" s="3"/>
    </row>
    <row r="772" ht="15.75" customHeight="1">
      <c r="C772" s="1"/>
      <c r="D772" s="1"/>
      <c r="E772" s="1"/>
      <c r="F772" s="1"/>
      <c r="G772" s="2"/>
      <c r="H772" s="2"/>
      <c r="P772" s="3"/>
    </row>
    <row r="773" ht="15.75" customHeight="1">
      <c r="C773" s="1"/>
      <c r="D773" s="1"/>
      <c r="E773" s="1"/>
      <c r="F773" s="1"/>
      <c r="G773" s="2"/>
      <c r="H773" s="2"/>
      <c r="P773" s="3"/>
    </row>
    <row r="774" ht="15.75" customHeight="1">
      <c r="C774" s="1"/>
      <c r="D774" s="1"/>
      <c r="E774" s="1"/>
      <c r="F774" s="1"/>
      <c r="G774" s="2"/>
      <c r="H774" s="2"/>
      <c r="P774" s="3"/>
    </row>
    <row r="775" ht="15.75" customHeight="1">
      <c r="C775" s="1"/>
      <c r="D775" s="1"/>
      <c r="E775" s="1"/>
      <c r="F775" s="1"/>
      <c r="G775" s="2"/>
      <c r="H775" s="2"/>
      <c r="P775" s="3"/>
    </row>
    <row r="776" ht="15.75" customHeight="1">
      <c r="C776" s="1"/>
      <c r="D776" s="1"/>
      <c r="E776" s="1"/>
      <c r="F776" s="1"/>
      <c r="G776" s="2"/>
      <c r="H776" s="2"/>
      <c r="P776" s="3"/>
    </row>
    <row r="777" ht="15.75" customHeight="1">
      <c r="C777" s="1"/>
      <c r="D777" s="1"/>
      <c r="E777" s="1"/>
      <c r="F777" s="1"/>
      <c r="G777" s="2"/>
      <c r="H777" s="2"/>
      <c r="P777" s="3"/>
    </row>
    <row r="778" ht="15.75" customHeight="1">
      <c r="C778" s="1"/>
      <c r="D778" s="1"/>
      <c r="E778" s="1"/>
      <c r="F778" s="1"/>
      <c r="G778" s="2"/>
      <c r="H778" s="2"/>
      <c r="P778" s="3"/>
    </row>
    <row r="779" ht="15.75" customHeight="1">
      <c r="C779" s="1"/>
      <c r="D779" s="1"/>
      <c r="E779" s="1"/>
      <c r="F779" s="1"/>
      <c r="G779" s="2"/>
      <c r="H779" s="2"/>
      <c r="P779" s="3"/>
    </row>
    <row r="780" ht="15.75" customHeight="1">
      <c r="C780" s="1"/>
      <c r="D780" s="1"/>
      <c r="E780" s="1"/>
      <c r="F780" s="1"/>
      <c r="G780" s="2"/>
      <c r="H780" s="2"/>
      <c r="P780" s="3"/>
    </row>
    <row r="781" ht="15.75" customHeight="1">
      <c r="C781" s="1"/>
      <c r="D781" s="1"/>
      <c r="E781" s="1"/>
      <c r="F781" s="1"/>
      <c r="G781" s="2"/>
      <c r="H781" s="2"/>
      <c r="P781" s="3"/>
    </row>
    <row r="782" ht="15.75" customHeight="1">
      <c r="C782" s="1"/>
      <c r="D782" s="1"/>
      <c r="E782" s="1"/>
      <c r="F782" s="1"/>
      <c r="G782" s="2"/>
      <c r="H782" s="2"/>
      <c r="P782" s="3"/>
    </row>
    <row r="783" ht="15.75" customHeight="1">
      <c r="C783" s="1"/>
      <c r="D783" s="1"/>
      <c r="E783" s="1"/>
      <c r="F783" s="1"/>
      <c r="G783" s="2"/>
      <c r="H783" s="2"/>
      <c r="P783" s="3"/>
    </row>
    <row r="784" ht="15.75" customHeight="1">
      <c r="C784" s="1"/>
      <c r="D784" s="1"/>
      <c r="E784" s="1"/>
      <c r="F784" s="1"/>
      <c r="G784" s="2"/>
      <c r="H784" s="2"/>
      <c r="P784" s="3"/>
    </row>
    <row r="785" ht="15.75" customHeight="1">
      <c r="C785" s="1"/>
      <c r="D785" s="1"/>
      <c r="E785" s="1"/>
      <c r="F785" s="1"/>
      <c r="G785" s="2"/>
      <c r="H785" s="2"/>
      <c r="P785" s="3"/>
    </row>
    <row r="786" ht="15.75" customHeight="1">
      <c r="C786" s="1"/>
      <c r="D786" s="1"/>
      <c r="E786" s="1"/>
      <c r="F786" s="1"/>
      <c r="G786" s="2"/>
      <c r="H786" s="2"/>
      <c r="P786" s="3"/>
    </row>
    <row r="787" ht="15.75" customHeight="1">
      <c r="C787" s="1"/>
      <c r="D787" s="1"/>
      <c r="E787" s="1"/>
      <c r="F787" s="1"/>
      <c r="G787" s="2"/>
      <c r="H787" s="2"/>
      <c r="P787" s="3"/>
    </row>
    <row r="788" ht="15.75" customHeight="1">
      <c r="C788" s="1"/>
      <c r="D788" s="1"/>
      <c r="E788" s="1"/>
      <c r="F788" s="1"/>
      <c r="G788" s="2"/>
      <c r="H788" s="2"/>
      <c r="P788" s="3"/>
    </row>
    <row r="789" ht="15.75" customHeight="1">
      <c r="C789" s="1"/>
      <c r="D789" s="1"/>
      <c r="E789" s="1"/>
      <c r="F789" s="1"/>
      <c r="G789" s="2"/>
      <c r="H789" s="2"/>
      <c r="P789" s="3"/>
    </row>
    <row r="790" ht="15.75" customHeight="1">
      <c r="C790" s="1"/>
      <c r="D790" s="1"/>
      <c r="E790" s="1"/>
      <c r="F790" s="1"/>
      <c r="G790" s="2"/>
      <c r="H790" s="2"/>
      <c r="P790" s="3"/>
    </row>
    <row r="791" ht="15.75" customHeight="1">
      <c r="C791" s="1"/>
      <c r="D791" s="1"/>
      <c r="E791" s="1"/>
      <c r="F791" s="1"/>
      <c r="G791" s="2"/>
      <c r="H791" s="2"/>
      <c r="P791" s="3"/>
    </row>
    <row r="792" ht="15.75" customHeight="1">
      <c r="C792" s="1"/>
      <c r="D792" s="1"/>
      <c r="E792" s="1"/>
      <c r="F792" s="1"/>
      <c r="G792" s="2"/>
      <c r="H792" s="2"/>
      <c r="P792" s="3"/>
    </row>
    <row r="793" ht="15.75" customHeight="1">
      <c r="C793" s="1"/>
      <c r="D793" s="1"/>
      <c r="E793" s="1"/>
      <c r="F793" s="1"/>
      <c r="G793" s="2"/>
      <c r="H793" s="2"/>
      <c r="P793" s="3"/>
    </row>
    <row r="794" ht="15.75" customHeight="1">
      <c r="C794" s="1"/>
      <c r="D794" s="1"/>
      <c r="E794" s="1"/>
      <c r="F794" s="1"/>
      <c r="G794" s="2"/>
      <c r="H794" s="2"/>
      <c r="P794" s="3"/>
    </row>
    <row r="795" ht="15.75" customHeight="1">
      <c r="C795" s="1"/>
      <c r="D795" s="1"/>
      <c r="E795" s="1"/>
      <c r="F795" s="1"/>
      <c r="G795" s="2"/>
      <c r="H795" s="2"/>
      <c r="P795" s="3"/>
    </row>
    <row r="796" ht="15.75" customHeight="1">
      <c r="C796" s="1"/>
      <c r="D796" s="1"/>
      <c r="E796" s="1"/>
      <c r="F796" s="1"/>
      <c r="G796" s="2"/>
      <c r="H796" s="2"/>
      <c r="P796" s="3"/>
    </row>
    <row r="797" ht="15.75" customHeight="1">
      <c r="C797" s="1"/>
      <c r="D797" s="1"/>
      <c r="E797" s="1"/>
      <c r="F797" s="1"/>
      <c r="G797" s="2"/>
      <c r="H797" s="2"/>
      <c r="P797" s="3"/>
    </row>
    <row r="798" ht="15.75" customHeight="1">
      <c r="C798" s="1"/>
      <c r="D798" s="1"/>
      <c r="E798" s="1"/>
      <c r="F798" s="1"/>
      <c r="G798" s="2"/>
      <c r="H798" s="2"/>
      <c r="P798" s="3"/>
    </row>
    <row r="799" ht="15.75" customHeight="1">
      <c r="C799" s="1"/>
      <c r="D799" s="1"/>
      <c r="E799" s="1"/>
      <c r="F799" s="1"/>
      <c r="G799" s="2"/>
      <c r="H799" s="2"/>
      <c r="P799" s="3"/>
    </row>
    <row r="800" ht="15.75" customHeight="1">
      <c r="C800" s="1"/>
      <c r="D800" s="1"/>
      <c r="E800" s="1"/>
      <c r="F800" s="1"/>
      <c r="G800" s="2"/>
      <c r="H800" s="2"/>
      <c r="P800" s="3"/>
    </row>
    <row r="801" ht="15.75" customHeight="1">
      <c r="C801" s="1"/>
      <c r="D801" s="1"/>
      <c r="E801" s="1"/>
      <c r="F801" s="1"/>
      <c r="G801" s="2"/>
      <c r="H801" s="2"/>
      <c r="P801" s="3"/>
    </row>
    <row r="802" ht="15.75" customHeight="1">
      <c r="C802" s="1"/>
      <c r="D802" s="1"/>
      <c r="E802" s="1"/>
      <c r="F802" s="1"/>
      <c r="G802" s="2"/>
      <c r="H802" s="2"/>
      <c r="P802" s="3"/>
    </row>
    <row r="803" ht="15.75" customHeight="1">
      <c r="C803" s="1"/>
      <c r="D803" s="1"/>
      <c r="E803" s="1"/>
      <c r="F803" s="1"/>
      <c r="G803" s="2"/>
      <c r="H803" s="2"/>
      <c r="P803" s="3"/>
    </row>
    <row r="804" ht="15.75" customHeight="1">
      <c r="C804" s="1"/>
      <c r="D804" s="1"/>
      <c r="E804" s="1"/>
      <c r="F804" s="1"/>
      <c r="G804" s="2"/>
      <c r="H804" s="2"/>
      <c r="P804" s="3"/>
    </row>
    <row r="805" ht="15.75" customHeight="1">
      <c r="C805" s="1"/>
      <c r="D805" s="1"/>
      <c r="E805" s="1"/>
      <c r="F805" s="1"/>
      <c r="G805" s="2"/>
      <c r="H805" s="2"/>
      <c r="P805" s="3"/>
    </row>
    <row r="806" ht="15.75" customHeight="1">
      <c r="C806" s="1"/>
      <c r="D806" s="1"/>
      <c r="E806" s="1"/>
      <c r="F806" s="1"/>
      <c r="G806" s="2"/>
      <c r="H806" s="2"/>
      <c r="P806" s="3"/>
    </row>
    <row r="807" ht="15.75" customHeight="1">
      <c r="C807" s="1"/>
      <c r="D807" s="1"/>
      <c r="E807" s="1"/>
      <c r="F807" s="1"/>
      <c r="G807" s="2"/>
      <c r="H807" s="2"/>
      <c r="P807" s="3"/>
    </row>
    <row r="808" ht="15.75" customHeight="1">
      <c r="C808" s="1"/>
      <c r="D808" s="1"/>
      <c r="E808" s="1"/>
      <c r="F808" s="1"/>
      <c r="G808" s="2"/>
      <c r="H808" s="2"/>
      <c r="P808" s="3"/>
    </row>
    <row r="809" ht="15.75" customHeight="1">
      <c r="C809" s="1"/>
      <c r="D809" s="1"/>
      <c r="E809" s="1"/>
      <c r="F809" s="1"/>
      <c r="G809" s="2"/>
      <c r="H809" s="2"/>
      <c r="P809" s="3"/>
    </row>
    <row r="810" ht="15.75" customHeight="1">
      <c r="C810" s="1"/>
      <c r="D810" s="1"/>
      <c r="E810" s="1"/>
      <c r="F810" s="1"/>
      <c r="G810" s="2"/>
      <c r="H810" s="2"/>
      <c r="P810" s="3"/>
    </row>
    <row r="811" ht="15.75" customHeight="1">
      <c r="C811" s="1"/>
      <c r="D811" s="1"/>
      <c r="E811" s="1"/>
      <c r="F811" s="1"/>
      <c r="G811" s="2"/>
      <c r="H811" s="2"/>
      <c r="P811" s="3"/>
    </row>
    <row r="812" ht="15.75" customHeight="1">
      <c r="C812" s="1"/>
      <c r="D812" s="1"/>
      <c r="E812" s="1"/>
      <c r="F812" s="1"/>
      <c r="G812" s="2"/>
      <c r="H812" s="2"/>
      <c r="P812" s="3"/>
    </row>
    <row r="813" ht="15.75" customHeight="1">
      <c r="C813" s="1"/>
      <c r="D813" s="1"/>
      <c r="E813" s="1"/>
      <c r="F813" s="1"/>
      <c r="G813" s="2"/>
      <c r="H813" s="2"/>
      <c r="P813" s="3"/>
    </row>
    <row r="814" ht="15.75" customHeight="1">
      <c r="C814" s="1"/>
      <c r="D814" s="1"/>
      <c r="E814" s="1"/>
      <c r="F814" s="1"/>
      <c r="G814" s="2"/>
      <c r="H814" s="2"/>
      <c r="P814" s="3"/>
    </row>
    <row r="815" ht="15.75" customHeight="1">
      <c r="C815" s="1"/>
      <c r="D815" s="1"/>
      <c r="E815" s="1"/>
      <c r="F815" s="1"/>
      <c r="G815" s="2"/>
      <c r="H815" s="2"/>
      <c r="P815" s="3"/>
    </row>
    <row r="816" ht="15.75" customHeight="1">
      <c r="C816" s="1"/>
      <c r="D816" s="1"/>
      <c r="E816" s="1"/>
      <c r="F816" s="1"/>
      <c r="G816" s="2"/>
      <c r="H816" s="2"/>
      <c r="P816" s="3"/>
    </row>
    <row r="817" ht="15.75" customHeight="1">
      <c r="C817" s="1"/>
      <c r="D817" s="1"/>
      <c r="E817" s="1"/>
      <c r="F817" s="1"/>
      <c r="G817" s="2"/>
      <c r="H817" s="2"/>
      <c r="P817" s="3"/>
    </row>
    <row r="818" ht="15.75" customHeight="1">
      <c r="C818" s="1"/>
      <c r="D818" s="1"/>
      <c r="E818" s="1"/>
      <c r="F818" s="1"/>
      <c r="G818" s="2"/>
      <c r="H818" s="2"/>
      <c r="P818" s="3"/>
    </row>
    <row r="819" ht="15.75" customHeight="1">
      <c r="C819" s="1"/>
      <c r="D819" s="1"/>
      <c r="E819" s="1"/>
      <c r="F819" s="1"/>
      <c r="G819" s="2"/>
      <c r="H819" s="2"/>
      <c r="P819" s="3"/>
    </row>
    <row r="820" ht="15.75" customHeight="1">
      <c r="C820" s="1"/>
      <c r="D820" s="1"/>
      <c r="E820" s="1"/>
      <c r="F820" s="1"/>
      <c r="G820" s="2"/>
      <c r="H820" s="2"/>
      <c r="P820" s="3"/>
    </row>
    <row r="821" ht="15.75" customHeight="1">
      <c r="C821" s="1"/>
      <c r="D821" s="1"/>
      <c r="E821" s="1"/>
      <c r="F821" s="1"/>
      <c r="G821" s="2"/>
      <c r="H821" s="2"/>
      <c r="P821" s="3"/>
    </row>
    <row r="822" ht="15.75" customHeight="1">
      <c r="C822" s="1"/>
      <c r="D822" s="1"/>
      <c r="E822" s="1"/>
      <c r="F822" s="1"/>
      <c r="G822" s="2"/>
      <c r="H822" s="2"/>
      <c r="P822" s="3"/>
    </row>
    <row r="823" ht="15.75" customHeight="1">
      <c r="C823" s="1"/>
      <c r="D823" s="1"/>
      <c r="E823" s="1"/>
      <c r="F823" s="1"/>
      <c r="G823" s="2"/>
      <c r="H823" s="2"/>
      <c r="P823" s="3"/>
    </row>
    <row r="824" ht="15.75" customHeight="1">
      <c r="C824" s="1"/>
      <c r="D824" s="1"/>
      <c r="E824" s="1"/>
      <c r="F824" s="1"/>
      <c r="G824" s="2"/>
      <c r="H824" s="2"/>
      <c r="P824" s="3"/>
    </row>
    <row r="825" ht="15.75" customHeight="1">
      <c r="C825" s="1"/>
      <c r="D825" s="1"/>
      <c r="E825" s="1"/>
      <c r="F825" s="1"/>
      <c r="G825" s="2"/>
      <c r="H825" s="2"/>
      <c r="P825" s="3"/>
    </row>
    <row r="826" ht="15.75" customHeight="1">
      <c r="C826" s="1"/>
      <c r="D826" s="1"/>
      <c r="E826" s="1"/>
      <c r="F826" s="1"/>
      <c r="G826" s="2"/>
      <c r="H826" s="2"/>
      <c r="P826" s="3"/>
    </row>
    <row r="827" ht="15.75" customHeight="1">
      <c r="C827" s="1"/>
      <c r="D827" s="1"/>
      <c r="E827" s="1"/>
      <c r="F827" s="1"/>
      <c r="G827" s="2"/>
      <c r="H827" s="2"/>
      <c r="P827" s="3"/>
    </row>
    <row r="828" ht="15.75" customHeight="1">
      <c r="C828" s="1"/>
      <c r="D828" s="1"/>
      <c r="E828" s="1"/>
      <c r="F828" s="1"/>
      <c r="G828" s="2"/>
      <c r="H828" s="2"/>
      <c r="P828" s="3"/>
    </row>
    <row r="829" ht="15.75" customHeight="1">
      <c r="C829" s="1"/>
      <c r="D829" s="1"/>
      <c r="E829" s="1"/>
      <c r="F829" s="1"/>
      <c r="G829" s="2"/>
      <c r="H829" s="2"/>
      <c r="P829" s="3"/>
    </row>
    <row r="830" ht="15.75" customHeight="1">
      <c r="C830" s="1"/>
      <c r="D830" s="1"/>
      <c r="E830" s="1"/>
      <c r="F830" s="1"/>
      <c r="G830" s="2"/>
      <c r="H830" s="2"/>
      <c r="P830" s="3"/>
    </row>
    <row r="831" ht="15.75" customHeight="1">
      <c r="C831" s="1"/>
      <c r="D831" s="1"/>
      <c r="E831" s="1"/>
      <c r="F831" s="1"/>
      <c r="G831" s="2"/>
      <c r="H831" s="2"/>
      <c r="P831" s="3"/>
    </row>
    <row r="832" ht="15.75" customHeight="1">
      <c r="C832" s="1"/>
      <c r="D832" s="1"/>
      <c r="E832" s="1"/>
      <c r="F832" s="1"/>
      <c r="G832" s="2"/>
      <c r="H832" s="2"/>
      <c r="P832" s="3"/>
    </row>
    <row r="833" ht="15.75" customHeight="1">
      <c r="C833" s="1"/>
      <c r="D833" s="1"/>
      <c r="E833" s="1"/>
      <c r="F833" s="1"/>
      <c r="G833" s="2"/>
      <c r="H833" s="2"/>
      <c r="P833" s="3"/>
    </row>
    <row r="834" ht="15.75" customHeight="1">
      <c r="C834" s="1"/>
      <c r="D834" s="1"/>
      <c r="E834" s="1"/>
      <c r="F834" s="1"/>
      <c r="G834" s="2"/>
      <c r="H834" s="2"/>
      <c r="P834" s="3"/>
    </row>
    <row r="835" ht="15.75" customHeight="1">
      <c r="C835" s="1"/>
      <c r="D835" s="1"/>
      <c r="E835" s="1"/>
      <c r="F835" s="1"/>
      <c r="G835" s="2"/>
      <c r="H835" s="2"/>
      <c r="P835" s="3"/>
    </row>
    <row r="836" ht="15.75" customHeight="1">
      <c r="C836" s="1"/>
      <c r="D836" s="1"/>
      <c r="E836" s="1"/>
      <c r="F836" s="1"/>
      <c r="G836" s="2"/>
      <c r="H836" s="2"/>
      <c r="P836" s="3"/>
    </row>
    <row r="837" ht="15.75" customHeight="1">
      <c r="C837" s="1"/>
      <c r="D837" s="1"/>
      <c r="E837" s="1"/>
      <c r="F837" s="1"/>
      <c r="G837" s="2"/>
      <c r="H837" s="2"/>
      <c r="P837" s="3"/>
    </row>
    <row r="838" ht="15.75" customHeight="1">
      <c r="C838" s="1"/>
      <c r="D838" s="1"/>
      <c r="E838" s="1"/>
      <c r="F838" s="1"/>
      <c r="G838" s="2"/>
      <c r="H838" s="2"/>
      <c r="P838" s="3"/>
    </row>
    <row r="839" ht="15.75" customHeight="1">
      <c r="C839" s="1"/>
      <c r="D839" s="1"/>
      <c r="E839" s="1"/>
      <c r="F839" s="1"/>
      <c r="G839" s="2"/>
      <c r="H839" s="2"/>
      <c r="P839" s="3"/>
    </row>
    <row r="840" ht="15.75" customHeight="1">
      <c r="C840" s="1"/>
      <c r="D840" s="1"/>
      <c r="E840" s="1"/>
      <c r="F840" s="1"/>
      <c r="G840" s="2"/>
      <c r="H840" s="2"/>
      <c r="P840" s="3"/>
    </row>
    <row r="841" ht="15.75" customHeight="1">
      <c r="C841" s="1"/>
      <c r="D841" s="1"/>
      <c r="E841" s="1"/>
      <c r="F841" s="1"/>
      <c r="G841" s="2"/>
      <c r="H841" s="2"/>
      <c r="P841" s="3"/>
    </row>
    <row r="842" ht="15.75" customHeight="1">
      <c r="C842" s="1"/>
      <c r="D842" s="1"/>
      <c r="E842" s="1"/>
      <c r="F842" s="1"/>
      <c r="G842" s="2"/>
      <c r="H842" s="2"/>
      <c r="P842" s="3"/>
    </row>
    <row r="843" ht="15.75" customHeight="1">
      <c r="C843" s="1"/>
      <c r="D843" s="1"/>
      <c r="E843" s="1"/>
      <c r="F843" s="1"/>
      <c r="G843" s="2"/>
      <c r="H843" s="2"/>
      <c r="P843" s="3"/>
    </row>
    <row r="844" ht="15.75" customHeight="1">
      <c r="C844" s="1"/>
      <c r="D844" s="1"/>
      <c r="E844" s="1"/>
      <c r="F844" s="1"/>
      <c r="G844" s="2"/>
      <c r="H844" s="2"/>
      <c r="P844" s="3"/>
    </row>
    <row r="845" ht="15.75" customHeight="1">
      <c r="C845" s="1"/>
      <c r="D845" s="1"/>
      <c r="E845" s="1"/>
      <c r="F845" s="1"/>
      <c r="G845" s="2"/>
      <c r="H845" s="2"/>
      <c r="P845" s="3"/>
    </row>
    <row r="846" ht="15.75" customHeight="1">
      <c r="C846" s="1"/>
      <c r="D846" s="1"/>
      <c r="E846" s="1"/>
      <c r="F846" s="1"/>
      <c r="G846" s="2"/>
      <c r="H846" s="2"/>
      <c r="P846" s="3"/>
    </row>
    <row r="847" ht="15.75" customHeight="1">
      <c r="C847" s="1"/>
      <c r="D847" s="1"/>
      <c r="E847" s="1"/>
      <c r="F847" s="1"/>
      <c r="G847" s="2"/>
      <c r="H847" s="2"/>
      <c r="P847" s="3"/>
    </row>
    <row r="848" ht="15.75" customHeight="1">
      <c r="C848" s="1"/>
      <c r="D848" s="1"/>
      <c r="E848" s="1"/>
      <c r="F848" s="1"/>
      <c r="G848" s="2"/>
      <c r="H848" s="2"/>
      <c r="P848" s="3"/>
    </row>
    <row r="849" ht="15.75" customHeight="1">
      <c r="C849" s="1"/>
      <c r="D849" s="1"/>
      <c r="E849" s="1"/>
      <c r="F849" s="1"/>
      <c r="G849" s="2"/>
      <c r="H849" s="2"/>
      <c r="P849" s="3"/>
    </row>
    <row r="850" ht="15.75" customHeight="1">
      <c r="C850" s="1"/>
      <c r="D850" s="1"/>
      <c r="E850" s="1"/>
      <c r="F850" s="1"/>
      <c r="G850" s="2"/>
      <c r="H850" s="2"/>
      <c r="P850" s="3"/>
    </row>
    <row r="851" ht="15.75" customHeight="1">
      <c r="C851" s="1"/>
      <c r="D851" s="1"/>
      <c r="E851" s="1"/>
      <c r="F851" s="1"/>
      <c r="G851" s="2"/>
      <c r="H851" s="2"/>
      <c r="P851" s="3"/>
    </row>
    <row r="852" ht="15.75" customHeight="1">
      <c r="C852" s="1"/>
      <c r="D852" s="1"/>
      <c r="E852" s="1"/>
      <c r="F852" s="1"/>
      <c r="G852" s="2"/>
      <c r="H852" s="2"/>
      <c r="P852" s="3"/>
    </row>
    <row r="853" ht="15.75" customHeight="1">
      <c r="C853" s="1"/>
      <c r="D853" s="1"/>
      <c r="E853" s="1"/>
      <c r="F853" s="1"/>
      <c r="G853" s="2"/>
      <c r="H853" s="2"/>
      <c r="P853" s="3"/>
    </row>
    <row r="854" ht="15.75" customHeight="1">
      <c r="C854" s="1"/>
      <c r="D854" s="1"/>
      <c r="E854" s="1"/>
      <c r="F854" s="1"/>
      <c r="G854" s="2"/>
      <c r="H854" s="2"/>
      <c r="P854" s="3"/>
    </row>
    <row r="855" ht="15.75" customHeight="1">
      <c r="C855" s="1"/>
      <c r="D855" s="1"/>
      <c r="E855" s="1"/>
      <c r="F855" s="1"/>
      <c r="G855" s="2"/>
      <c r="H855" s="2"/>
      <c r="P855" s="3"/>
    </row>
    <row r="856" ht="15.75" customHeight="1">
      <c r="C856" s="1"/>
      <c r="D856" s="1"/>
      <c r="E856" s="1"/>
      <c r="F856" s="1"/>
      <c r="G856" s="2"/>
      <c r="H856" s="2"/>
      <c r="P856" s="3"/>
    </row>
    <row r="857" ht="15.75" customHeight="1">
      <c r="C857" s="1"/>
      <c r="D857" s="1"/>
      <c r="E857" s="1"/>
      <c r="F857" s="1"/>
      <c r="G857" s="2"/>
      <c r="H857" s="2"/>
      <c r="P857" s="3"/>
    </row>
    <row r="858" ht="15.75" customHeight="1">
      <c r="C858" s="1"/>
      <c r="D858" s="1"/>
      <c r="E858" s="1"/>
      <c r="F858" s="1"/>
      <c r="G858" s="2"/>
      <c r="H858" s="2"/>
      <c r="P858" s="3"/>
    </row>
    <row r="859" ht="15.75" customHeight="1">
      <c r="C859" s="1"/>
      <c r="D859" s="1"/>
      <c r="E859" s="1"/>
      <c r="F859" s="1"/>
      <c r="G859" s="2"/>
      <c r="H859" s="2"/>
      <c r="P859" s="3"/>
    </row>
    <row r="860" ht="15.75" customHeight="1">
      <c r="C860" s="1"/>
      <c r="D860" s="1"/>
      <c r="E860" s="1"/>
      <c r="F860" s="1"/>
      <c r="G860" s="2"/>
      <c r="H860" s="2"/>
      <c r="P860" s="3"/>
    </row>
    <row r="861" ht="15.75" customHeight="1">
      <c r="C861" s="1"/>
      <c r="D861" s="1"/>
      <c r="E861" s="1"/>
      <c r="F861" s="1"/>
      <c r="G861" s="2"/>
      <c r="H861" s="2"/>
      <c r="P861" s="3"/>
    </row>
    <row r="862" ht="15.75" customHeight="1">
      <c r="C862" s="1"/>
      <c r="D862" s="1"/>
      <c r="E862" s="1"/>
      <c r="F862" s="1"/>
      <c r="G862" s="2"/>
      <c r="H862" s="2"/>
      <c r="P862" s="3"/>
    </row>
    <row r="863" ht="15.75" customHeight="1">
      <c r="C863" s="1"/>
      <c r="D863" s="1"/>
      <c r="E863" s="1"/>
      <c r="F863" s="1"/>
      <c r="G863" s="2"/>
      <c r="H863" s="2"/>
      <c r="P863" s="3"/>
    </row>
    <row r="864" ht="15.75" customHeight="1">
      <c r="C864" s="1"/>
      <c r="D864" s="1"/>
      <c r="E864" s="1"/>
      <c r="F864" s="1"/>
      <c r="G864" s="2"/>
      <c r="H864" s="2"/>
      <c r="P864" s="3"/>
    </row>
    <row r="865" ht="15.75" customHeight="1">
      <c r="C865" s="1"/>
      <c r="D865" s="1"/>
      <c r="E865" s="1"/>
      <c r="F865" s="1"/>
      <c r="G865" s="2"/>
      <c r="H865" s="2"/>
      <c r="P865" s="3"/>
    </row>
    <row r="866" ht="15.75" customHeight="1">
      <c r="C866" s="1"/>
      <c r="D866" s="1"/>
      <c r="E866" s="1"/>
      <c r="F866" s="1"/>
      <c r="G866" s="2"/>
      <c r="H866" s="2"/>
      <c r="P866" s="3"/>
    </row>
    <row r="867" ht="15.75" customHeight="1">
      <c r="C867" s="1"/>
      <c r="D867" s="1"/>
      <c r="E867" s="1"/>
      <c r="F867" s="1"/>
      <c r="G867" s="2"/>
      <c r="H867" s="2"/>
      <c r="P867" s="3"/>
    </row>
    <row r="868" ht="15.75" customHeight="1">
      <c r="C868" s="1"/>
      <c r="D868" s="1"/>
      <c r="E868" s="1"/>
      <c r="F868" s="1"/>
      <c r="G868" s="2"/>
      <c r="H868" s="2"/>
      <c r="P868" s="3"/>
    </row>
    <row r="869" ht="15.75" customHeight="1">
      <c r="C869" s="1"/>
      <c r="D869" s="1"/>
      <c r="E869" s="1"/>
      <c r="F869" s="1"/>
      <c r="G869" s="2"/>
      <c r="H869" s="2"/>
      <c r="P869" s="3"/>
    </row>
    <row r="870" ht="15.75" customHeight="1">
      <c r="C870" s="1"/>
      <c r="D870" s="1"/>
      <c r="E870" s="1"/>
      <c r="F870" s="1"/>
      <c r="G870" s="2"/>
      <c r="H870" s="2"/>
      <c r="P870" s="3"/>
    </row>
    <row r="871" ht="15.75" customHeight="1">
      <c r="C871" s="1"/>
      <c r="D871" s="1"/>
      <c r="E871" s="1"/>
      <c r="F871" s="1"/>
      <c r="G871" s="2"/>
      <c r="H871" s="2"/>
      <c r="P871" s="3"/>
    </row>
    <row r="872" ht="15.75" customHeight="1">
      <c r="C872" s="1"/>
      <c r="D872" s="1"/>
      <c r="E872" s="1"/>
      <c r="F872" s="1"/>
      <c r="G872" s="2"/>
      <c r="H872" s="2"/>
      <c r="P872" s="3"/>
    </row>
    <row r="873" ht="15.75" customHeight="1">
      <c r="C873" s="1"/>
      <c r="D873" s="1"/>
      <c r="E873" s="1"/>
      <c r="F873" s="1"/>
      <c r="G873" s="2"/>
      <c r="H873" s="2"/>
      <c r="P873" s="3"/>
    </row>
    <row r="874" ht="15.75" customHeight="1">
      <c r="C874" s="1"/>
      <c r="D874" s="1"/>
      <c r="E874" s="1"/>
      <c r="F874" s="1"/>
      <c r="G874" s="2"/>
      <c r="H874" s="2"/>
      <c r="P874" s="3"/>
    </row>
    <row r="875" ht="15.75" customHeight="1">
      <c r="C875" s="1"/>
      <c r="D875" s="1"/>
      <c r="E875" s="1"/>
      <c r="F875" s="1"/>
      <c r="G875" s="2"/>
      <c r="H875" s="2"/>
      <c r="P875" s="3"/>
    </row>
    <row r="876" ht="15.75" customHeight="1">
      <c r="C876" s="1"/>
      <c r="D876" s="1"/>
      <c r="E876" s="1"/>
      <c r="F876" s="1"/>
      <c r="G876" s="2"/>
      <c r="H876" s="2"/>
      <c r="P876" s="3"/>
    </row>
    <row r="877" ht="15.75" customHeight="1">
      <c r="C877" s="1"/>
      <c r="D877" s="1"/>
      <c r="E877" s="1"/>
      <c r="F877" s="1"/>
      <c r="G877" s="2"/>
      <c r="H877" s="2"/>
      <c r="P877" s="3"/>
    </row>
    <row r="878" ht="15.75" customHeight="1">
      <c r="C878" s="1"/>
      <c r="D878" s="1"/>
      <c r="E878" s="1"/>
      <c r="F878" s="1"/>
      <c r="G878" s="2"/>
      <c r="H878" s="2"/>
      <c r="P878" s="3"/>
    </row>
    <row r="879" ht="15.75" customHeight="1">
      <c r="C879" s="1"/>
      <c r="D879" s="1"/>
      <c r="E879" s="1"/>
      <c r="F879" s="1"/>
      <c r="G879" s="2"/>
      <c r="H879" s="2"/>
      <c r="P879" s="3"/>
    </row>
    <row r="880" ht="15.75" customHeight="1">
      <c r="C880" s="1"/>
      <c r="D880" s="1"/>
      <c r="E880" s="1"/>
      <c r="F880" s="1"/>
      <c r="G880" s="2"/>
      <c r="H880" s="2"/>
      <c r="P880" s="3"/>
    </row>
    <row r="881" ht="15.75" customHeight="1">
      <c r="C881" s="1"/>
      <c r="D881" s="1"/>
      <c r="E881" s="1"/>
      <c r="F881" s="1"/>
      <c r="G881" s="2"/>
      <c r="H881" s="2"/>
      <c r="P881" s="3"/>
    </row>
    <row r="882" ht="15.75" customHeight="1">
      <c r="C882" s="1"/>
      <c r="D882" s="1"/>
      <c r="E882" s="1"/>
      <c r="F882" s="1"/>
      <c r="G882" s="2"/>
      <c r="H882" s="2"/>
      <c r="P882" s="3"/>
    </row>
    <row r="883" ht="15.75" customHeight="1">
      <c r="C883" s="1"/>
      <c r="D883" s="1"/>
      <c r="E883" s="1"/>
      <c r="F883" s="1"/>
      <c r="G883" s="2"/>
      <c r="H883" s="2"/>
      <c r="P883" s="3"/>
    </row>
    <row r="884" ht="15.75" customHeight="1">
      <c r="C884" s="1"/>
      <c r="D884" s="1"/>
      <c r="E884" s="1"/>
      <c r="F884" s="1"/>
      <c r="G884" s="2"/>
      <c r="H884" s="2"/>
      <c r="P884" s="3"/>
    </row>
    <row r="885" ht="15.75" customHeight="1">
      <c r="C885" s="1"/>
      <c r="D885" s="1"/>
      <c r="E885" s="1"/>
      <c r="F885" s="1"/>
      <c r="G885" s="2"/>
      <c r="H885" s="2"/>
      <c r="P885" s="3"/>
    </row>
    <row r="886" ht="15.75" customHeight="1">
      <c r="C886" s="1"/>
      <c r="D886" s="1"/>
      <c r="E886" s="1"/>
      <c r="F886" s="1"/>
      <c r="G886" s="2"/>
      <c r="H886" s="2"/>
      <c r="P886" s="3"/>
    </row>
    <row r="887" ht="15.75" customHeight="1">
      <c r="C887" s="1"/>
      <c r="D887" s="1"/>
      <c r="E887" s="1"/>
      <c r="F887" s="1"/>
      <c r="G887" s="2"/>
      <c r="H887" s="2"/>
      <c r="P887" s="3"/>
    </row>
    <row r="888" ht="15.75" customHeight="1">
      <c r="C888" s="1"/>
      <c r="D888" s="1"/>
      <c r="E888" s="1"/>
      <c r="F888" s="1"/>
      <c r="G888" s="2"/>
      <c r="H888" s="2"/>
      <c r="P888" s="3"/>
    </row>
    <row r="889" ht="15.75" customHeight="1">
      <c r="C889" s="1"/>
      <c r="D889" s="1"/>
      <c r="E889" s="1"/>
      <c r="F889" s="1"/>
      <c r="G889" s="2"/>
      <c r="H889" s="2"/>
      <c r="P889" s="3"/>
    </row>
    <row r="890" ht="15.75" customHeight="1">
      <c r="C890" s="1"/>
      <c r="D890" s="1"/>
      <c r="E890" s="1"/>
      <c r="F890" s="1"/>
      <c r="G890" s="2"/>
      <c r="H890" s="2"/>
      <c r="P890" s="3"/>
    </row>
    <row r="891" ht="15.75" customHeight="1">
      <c r="C891" s="1"/>
      <c r="D891" s="1"/>
      <c r="E891" s="1"/>
      <c r="F891" s="1"/>
      <c r="G891" s="2"/>
      <c r="H891" s="2"/>
      <c r="P891" s="3"/>
    </row>
    <row r="892" ht="15.75" customHeight="1">
      <c r="C892" s="1"/>
      <c r="D892" s="1"/>
      <c r="E892" s="1"/>
      <c r="F892" s="1"/>
      <c r="G892" s="2"/>
      <c r="H892" s="2"/>
      <c r="P892" s="3"/>
    </row>
    <row r="893" ht="15.75" customHeight="1">
      <c r="C893" s="1"/>
      <c r="D893" s="1"/>
      <c r="E893" s="1"/>
      <c r="F893" s="1"/>
      <c r="G893" s="2"/>
      <c r="H893" s="2"/>
      <c r="P893" s="3"/>
    </row>
    <row r="894" ht="15.75" customHeight="1">
      <c r="C894" s="1"/>
      <c r="D894" s="1"/>
      <c r="E894" s="1"/>
      <c r="F894" s="1"/>
      <c r="G894" s="2"/>
      <c r="H894" s="2"/>
      <c r="P894" s="3"/>
    </row>
    <row r="895" ht="15.75" customHeight="1">
      <c r="C895" s="1"/>
      <c r="D895" s="1"/>
      <c r="E895" s="1"/>
      <c r="F895" s="1"/>
      <c r="G895" s="2"/>
      <c r="H895" s="2"/>
      <c r="P895" s="3"/>
    </row>
    <row r="896" ht="15.75" customHeight="1">
      <c r="C896" s="1"/>
      <c r="D896" s="1"/>
      <c r="E896" s="1"/>
      <c r="F896" s="1"/>
      <c r="G896" s="2"/>
      <c r="H896" s="2"/>
      <c r="P896" s="3"/>
    </row>
    <row r="897" ht="15.75" customHeight="1">
      <c r="C897" s="1"/>
      <c r="D897" s="1"/>
      <c r="E897" s="1"/>
      <c r="F897" s="1"/>
      <c r="G897" s="2"/>
      <c r="H897" s="2"/>
      <c r="P897" s="3"/>
    </row>
    <row r="898" ht="15.75" customHeight="1">
      <c r="C898" s="1"/>
      <c r="D898" s="1"/>
      <c r="E898" s="1"/>
      <c r="F898" s="1"/>
      <c r="G898" s="2"/>
      <c r="H898" s="2"/>
      <c r="P898" s="3"/>
    </row>
    <row r="899" ht="15.75" customHeight="1">
      <c r="C899" s="1"/>
      <c r="D899" s="1"/>
      <c r="E899" s="1"/>
      <c r="F899" s="1"/>
      <c r="G899" s="2"/>
      <c r="H899" s="2"/>
      <c r="P899" s="3"/>
    </row>
    <row r="900" ht="15.75" customHeight="1">
      <c r="C900" s="1"/>
      <c r="D900" s="1"/>
      <c r="E900" s="1"/>
      <c r="F900" s="1"/>
      <c r="G900" s="2"/>
      <c r="H900" s="2"/>
      <c r="P900" s="3"/>
    </row>
    <row r="901" ht="15.75" customHeight="1">
      <c r="C901" s="1"/>
      <c r="D901" s="1"/>
      <c r="E901" s="1"/>
      <c r="F901" s="1"/>
      <c r="G901" s="2"/>
      <c r="H901" s="2"/>
      <c r="P901" s="3"/>
    </row>
    <row r="902" ht="15.75" customHeight="1">
      <c r="C902" s="1"/>
      <c r="D902" s="1"/>
      <c r="E902" s="1"/>
      <c r="F902" s="1"/>
      <c r="G902" s="2"/>
      <c r="H902" s="2"/>
      <c r="P902" s="3"/>
    </row>
    <row r="903" ht="15.75" customHeight="1">
      <c r="C903" s="1"/>
      <c r="D903" s="1"/>
      <c r="E903" s="1"/>
      <c r="F903" s="1"/>
      <c r="G903" s="2"/>
      <c r="H903" s="2"/>
      <c r="P903" s="3"/>
    </row>
    <row r="904" ht="15.75" customHeight="1">
      <c r="C904" s="1"/>
      <c r="D904" s="1"/>
      <c r="E904" s="1"/>
      <c r="F904" s="1"/>
      <c r="G904" s="2"/>
      <c r="H904" s="2"/>
      <c r="P904" s="3"/>
    </row>
    <row r="905" ht="15.75" customHeight="1">
      <c r="C905" s="1"/>
      <c r="D905" s="1"/>
      <c r="E905" s="1"/>
      <c r="F905" s="1"/>
      <c r="G905" s="2"/>
      <c r="H905" s="2"/>
      <c r="P905" s="3"/>
    </row>
    <row r="906" ht="15.75" customHeight="1">
      <c r="C906" s="1"/>
      <c r="D906" s="1"/>
      <c r="E906" s="1"/>
      <c r="F906" s="1"/>
      <c r="G906" s="2"/>
      <c r="H906" s="2"/>
      <c r="P906" s="3"/>
    </row>
    <row r="907" ht="15.75" customHeight="1">
      <c r="C907" s="1"/>
      <c r="D907" s="1"/>
      <c r="E907" s="1"/>
      <c r="F907" s="1"/>
      <c r="G907" s="2"/>
      <c r="H907" s="2"/>
      <c r="P907" s="3"/>
    </row>
    <row r="908" ht="15.75" customHeight="1">
      <c r="C908" s="1"/>
      <c r="D908" s="1"/>
      <c r="E908" s="1"/>
      <c r="F908" s="1"/>
      <c r="G908" s="2"/>
      <c r="H908" s="2"/>
      <c r="P908" s="3"/>
    </row>
    <row r="909" ht="15.75" customHeight="1">
      <c r="C909" s="1"/>
      <c r="D909" s="1"/>
      <c r="E909" s="1"/>
      <c r="F909" s="1"/>
      <c r="G909" s="2"/>
      <c r="H909" s="2"/>
      <c r="P909" s="3"/>
    </row>
    <row r="910" ht="15.75" customHeight="1">
      <c r="C910" s="1"/>
      <c r="D910" s="1"/>
      <c r="E910" s="1"/>
      <c r="F910" s="1"/>
      <c r="G910" s="2"/>
      <c r="H910" s="2"/>
      <c r="P910" s="3"/>
    </row>
    <row r="911" ht="15.75" customHeight="1">
      <c r="C911" s="1"/>
      <c r="D911" s="1"/>
      <c r="E911" s="1"/>
      <c r="F911" s="1"/>
      <c r="G911" s="2"/>
      <c r="H911" s="2"/>
      <c r="P911" s="3"/>
    </row>
    <row r="912" ht="15.75" customHeight="1">
      <c r="C912" s="1"/>
      <c r="D912" s="1"/>
      <c r="E912" s="1"/>
      <c r="F912" s="1"/>
      <c r="G912" s="2"/>
      <c r="H912" s="2"/>
      <c r="P912" s="3"/>
    </row>
    <row r="913" ht="15.75" customHeight="1">
      <c r="C913" s="1"/>
      <c r="D913" s="1"/>
      <c r="E913" s="1"/>
      <c r="F913" s="1"/>
      <c r="G913" s="2"/>
      <c r="H913" s="2"/>
      <c r="P913" s="3"/>
    </row>
    <row r="914" ht="15.75" customHeight="1">
      <c r="C914" s="1"/>
      <c r="D914" s="1"/>
      <c r="E914" s="1"/>
      <c r="F914" s="1"/>
      <c r="G914" s="2"/>
      <c r="H914" s="2"/>
      <c r="P914" s="3"/>
    </row>
    <row r="915" ht="15.75" customHeight="1">
      <c r="C915" s="1"/>
      <c r="D915" s="1"/>
      <c r="E915" s="1"/>
      <c r="F915" s="1"/>
      <c r="G915" s="2"/>
      <c r="H915" s="2"/>
      <c r="P915" s="3"/>
    </row>
    <row r="916" ht="15.75" customHeight="1">
      <c r="C916" s="1"/>
      <c r="D916" s="1"/>
      <c r="E916" s="1"/>
      <c r="F916" s="1"/>
      <c r="G916" s="2"/>
      <c r="H916" s="2"/>
      <c r="P916" s="3"/>
    </row>
    <row r="917" ht="15.75" customHeight="1">
      <c r="C917" s="1"/>
      <c r="D917" s="1"/>
      <c r="E917" s="1"/>
      <c r="F917" s="1"/>
      <c r="G917" s="2"/>
      <c r="H917" s="2"/>
      <c r="P917" s="3"/>
    </row>
    <row r="918" ht="15.75" customHeight="1">
      <c r="C918" s="1"/>
      <c r="D918" s="1"/>
      <c r="E918" s="1"/>
      <c r="F918" s="1"/>
      <c r="G918" s="2"/>
      <c r="H918" s="2"/>
      <c r="P918" s="3"/>
    </row>
    <row r="919" ht="15.75" customHeight="1">
      <c r="C919" s="1"/>
      <c r="D919" s="1"/>
      <c r="E919" s="1"/>
      <c r="F919" s="1"/>
      <c r="G919" s="2"/>
      <c r="H919" s="2"/>
      <c r="P919" s="3"/>
    </row>
    <row r="920" ht="15.75" customHeight="1">
      <c r="C920" s="1"/>
      <c r="D920" s="1"/>
      <c r="E920" s="1"/>
      <c r="F920" s="1"/>
      <c r="G920" s="2"/>
      <c r="H920" s="2"/>
      <c r="P920" s="3"/>
    </row>
    <row r="921" ht="15.75" customHeight="1">
      <c r="C921" s="1"/>
      <c r="D921" s="1"/>
      <c r="E921" s="1"/>
      <c r="F921" s="1"/>
      <c r="G921" s="2"/>
      <c r="H921" s="2"/>
      <c r="P921" s="3"/>
    </row>
    <row r="922" ht="15.75" customHeight="1">
      <c r="C922" s="1"/>
      <c r="D922" s="1"/>
      <c r="E922" s="1"/>
      <c r="F922" s="1"/>
      <c r="G922" s="2"/>
      <c r="H922" s="2"/>
      <c r="P922" s="3"/>
    </row>
    <row r="923" ht="15.75" customHeight="1">
      <c r="C923" s="1"/>
      <c r="D923" s="1"/>
      <c r="E923" s="1"/>
      <c r="F923" s="1"/>
      <c r="G923" s="2"/>
      <c r="H923" s="2"/>
      <c r="P923" s="3"/>
    </row>
    <row r="924" ht="15.75" customHeight="1">
      <c r="C924" s="1"/>
      <c r="D924" s="1"/>
      <c r="E924" s="1"/>
      <c r="F924" s="1"/>
      <c r="G924" s="2"/>
      <c r="H924" s="2"/>
      <c r="P924" s="3"/>
    </row>
    <row r="925" ht="15.75" customHeight="1">
      <c r="C925" s="1"/>
      <c r="D925" s="1"/>
      <c r="E925" s="1"/>
      <c r="F925" s="1"/>
      <c r="G925" s="2"/>
      <c r="H925" s="2"/>
      <c r="P925" s="3"/>
    </row>
    <row r="926" ht="15.75" customHeight="1">
      <c r="C926" s="1"/>
      <c r="D926" s="1"/>
      <c r="E926" s="1"/>
      <c r="F926" s="1"/>
      <c r="G926" s="2"/>
      <c r="H926" s="2"/>
      <c r="P926" s="3"/>
    </row>
    <row r="927" ht="15.75" customHeight="1">
      <c r="C927" s="1"/>
      <c r="D927" s="1"/>
      <c r="E927" s="1"/>
      <c r="F927" s="1"/>
      <c r="G927" s="2"/>
      <c r="H927" s="2"/>
      <c r="P927" s="3"/>
    </row>
    <row r="928" ht="15.75" customHeight="1">
      <c r="C928" s="1"/>
      <c r="D928" s="1"/>
      <c r="E928" s="1"/>
      <c r="F928" s="1"/>
      <c r="G928" s="2"/>
      <c r="H928" s="2"/>
      <c r="P928" s="3"/>
    </row>
    <row r="929" ht="15.75" customHeight="1">
      <c r="C929" s="1"/>
      <c r="D929" s="1"/>
      <c r="E929" s="1"/>
      <c r="F929" s="1"/>
      <c r="G929" s="2"/>
      <c r="H929" s="2"/>
      <c r="P929" s="3"/>
    </row>
    <row r="930" ht="15.75" customHeight="1">
      <c r="C930" s="1"/>
      <c r="D930" s="1"/>
      <c r="E930" s="1"/>
      <c r="F930" s="1"/>
      <c r="G930" s="2"/>
      <c r="H930" s="2"/>
      <c r="P930" s="3"/>
    </row>
    <row r="931" ht="15.75" customHeight="1">
      <c r="C931" s="1"/>
      <c r="D931" s="1"/>
      <c r="E931" s="1"/>
      <c r="F931" s="1"/>
      <c r="G931" s="2"/>
      <c r="H931" s="2"/>
      <c r="P931" s="3"/>
    </row>
    <row r="932" ht="15.75" customHeight="1">
      <c r="C932" s="1"/>
      <c r="D932" s="1"/>
      <c r="E932" s="1"/>
      <c r="F932" s="1"/>
      <c r="G932" s="2"/>
      <c r="H932" s="2"/>
      <c r="P932" s="3"/>
    </row>
    <row r="933" ht="15.75" customHeight="1">
      <c r="C933" s="1"/>
      <c r="D933" s="1"/>
      <c r="E933" s="1"/>
      <c r="F933" s="1"/>
      <c r="G933" s="2"/>
      <c r="H933" s="2"/>
      <c r="P933" s="3"/>
    </row>
    <row r="934" ht="15.75" customHeight="1">
      <c r="C934" s="1"/>
      <c r="D934" s="1"/>
      <c r="E934" s="1"/>
      <c r="F934" s="1"/>
      <c r="G934" s="2"/>
      <c r="H934" s="2"/>
      <c r="P934" s="3"/>
    </row>
    <row r="935" ht="15.75" customHeight="1">
      <c r="C935" s="1"/>
      <c r="D935" s="1"/>
      <c r="E935" s="1"/>
      <c r="F935" s="1"/>
      <c r="G935" s="2"/>
      <c r="H935" s="2"/>
      <c r="P935" s="3"/>
    </row>
    <row r="936" ht="15.75" customHeight="1">
      <c r="C936" s="1"/>
      <c r="D936" s="1"/>
      <c r="E936" s="1"/>
      <c r="F936" s="1"/>
      <c r="G936" s="2"/>
      <c r="H936" s="2"/>
      <c r="P936" s="3"/>
    </row>
    <row r="937" ht="15.75" customHeight="1">
      <c r="C937" s="1"/>
      <c r="D937" s="1"/>
      <c r="E937" s="1"/>
      <c r="F937" s="1"/>
      <c r="G937" s="2"/>
      <c r="H937" s="2"/>
      <c r="P937" s="3"/>
    </row>
    <row r="938" ht="15.75" customHeight="1">
      <c r="C938" s="1"/>
      <c r="D938" s="1"/>
      <c r="E938" s="1"/>
      <c r="F938" s="1"/>
      <c r="G938" s="2"/>
      <c r="H938" s="2"/>
      <c r="P938" s="3"/>
    </row>
    <row r="939" ht="15.75" customHeight="1">
      <c r="C939" s="1"/>
      <c r="D939" s="1"/>
      <c r="E939" s="1"/>
      <c r="F939" s="1"/>
      <c r="G939" s="2"/>
      <c r="H939" s="2"/>
      <c r="P939" s="3"/>
    </row>
    <row r="940" ht="15.75" customHeight="1">
      <c r="C940" s="1"/>
      <c r="D940" s="1"/>
      <c r="E940" s="1"/>
      <c r="F940" s="1"/>
      <c r="G940" s="2"/>
      <c r="H940" s="2"/>
      <c r="P940" s="3"/>
    </row>
    <row r="941" ht="15.75" customHeight="1">
      <c r="C941" s="1"/>
      <c r="D941" s="1"/>
      <c r="E941" s="1"/>
      <c r="F941" s="1"/>
      <c r="G941" s="2"/>
      <c r="H941" s="2"/>
      <c r="P941" s="3"/>
    </row>
    <row r="942" ht="15.75" customHeight="1">
      <c r="C942" s="1"/>
      <c r="D942" s="1"/>
      <c r="E942" s="1"/>
      <c r="F942" s="1"/>
      <c r="G942" s="2"/>
      <c r="H942" s="2"/>
      <c r="P942" s="3"/>
    </row>
    <row r="943" ht="15.75" customHeight="1">
      <c r="C943" s="1"/>
      <c r="D943" s="1"/>
      <c r="E943" s="1"/>
      <c r="F943" s="1"/>
      <c r="G943" s="2"/>
      <c r="H943" s="2"/>
      <c r="P943" s="3"/>
    </row>
    <row r="944" ht="15.75" customHeight="1">
      <c r="C944" s="1"/>
      <c r="D944" s="1"/>
      <c r="E944" s="1"/>
      <c r="F944" s="1"/>
      <c r="G944" s="2"/>
      <c r="H944" s="2"/>
      <c r="P944" s="3"/>
    </row>
    <row r="945" ht="15.75" customHeight="1">
      <c r="C945" s="1"/>
      <c r="D945" s="1"/>
      <c r="E945" s="1"/>
      <c r="F945" s="1"/>
      <c r="G945" s="2"/>
      <c r="H945" s="2"/>
      <c r="P945" s="3"/>
    </row>
    <row r="946" ht="15.75" customHeight="1">
      <c r="C946" s="1"/>
      <c r="D946" s="1"/>
      <c r="E946" s="1"/>
      <c r="F946" s="1"/>
      <c r="G946" s="2"/>
      <c r="H946" s="2"/>
      <c r="P946" s="3"/>
    </row>
    <row r="947" ht="15.75" customHeight="1">
      <c r="C947" s="1"/>
      <c r="D947" s="1"/>
      <c r="E947" s="1"/>
      <c r="F947" s="1"/>
      <c r="G947" s="2"/>
      <c r="H947" s="2"/>
      <c r="P947" s="3"/>
    </row>
    <row r="948" ht="15.75" customHeight="1">
      <c r="C948" s="1"/>
      <c r="D948" s="1"/>
      <c r="E948" s="1"/>
      <c r="F948" s="1"/>
      <c r="G948" s="2"/>
      <c r="H948" s="2"/>
      <c r="P948" s="3"/>
    </row>
    <row r="949" ht="15.75" customHeight="1">
      <c r="C949" s="1"/>
      <c r="D949" s="1"/>
      <c r="E949" s="1"/>
      <c r="F949" s="1"/>
      <c r="G949" s="2"/>
      <c r="H949" s="2"/>
      <c r="P949" s="3"/>
    </row>
    <row r="950" ht="15.75" customHeight="1">
      <c r="C950" s="1"/>
      <c r="D950" s="1"/>
      <c r="E950" s="1"/>
      <c r="F950" s="1"/>
      <c r="G950" s="2"/>
      <c r="H950" s="2"/>
      <c r="P950" s="3"/>
    </row>
    <row r="951" ht="15.75" customHeight="1">
      <c r="C951" s="1"/>
      <c r="D951" s="1"/>
      <c r="E951" s="1"/>
      <c r="F951" s="1"/>
      <c r="G951" s="2"/>
      <c r="H951" s="2"/>
      <c r="P951" s="3"/>
    </row>
    <row r="952" ht="15.75" customHeight="1">
      <c r="C952" s="1"/>
      <c r="D952" s="1"/>
      <c r="E952" s="1"/>
      <c r="F952" s="1"/>
      <c r="G952" s="2"/>
      <c r="H952" s="2"/>
      <c r="P952" s="3"/>
    </row>
    <row r="953" ht="15.75" customHeight="1">
      <c r="C953" s="1"/>
      <c r="D953" s="1"/>
      <c r="E953" s="1"/>
      <c r="F953" s="1"/>
      <c r="G953" s="2"/>
      <c r="H953" s="2"/>
      <c r="P953" s="3"/>
    </row>
    <row r="954" ht="15.75" customHeight="1">
      <c r="C954" s="1"/>
      <c r="D954" s="1"/>
      <c r="E954" s="1"/>
      <c r="F954" s="1"/>
      <c r="G954" s="2"/>
      <c r="H954" s="2"/>
      <c r="P954" s="3"/>
    </row>
    <row r="955" ht="15.75" customHeight="1">
      <c r="C955" s="1"/>
      <c r="D955" s="1"/>
      <c r="E955" s="1"/>
      <c r="F955" s="1"/>
      <c r="G955" s="2"/>
      <c r="H955" s="2"/>
      <c r="P955" s="3"/>
    </row>
    <row r="956" ht="15.75" customHeight="1">
      <c r="C956" s="1"/>
      <c r="D956" s="1"/>
      <c r="E956" s="1"/>
      <c r="F956" s="1"/>
      <c r="G956" s="2"/>
      <c r="H956" s="2"/>
      <c r="P956" s="3"/>
    </row>
    <row r="957" ht="15.75" customHeight="1">
      <c r="C957" s="1"/>
      <c r="D957" s="1"/>
      <c r="E957" s="1"/>
      <c r="F957" s="1"/>
      <c r="G957" s="2"/>
      <c r="H957" s="2"/>
      <c r="P957" s="3"/>
    </row>
    <row r="958" ht="15.75" customHeight="1">
      <c r="C958" s="1"/>
      <c r="D958" s="1"/>
      <c r="E958" s="1"/>
      <c r="F958" s="1"/>
      <c r="G958" s="2"/>
      <c r="H958" s="2"/>
      <c r="P958" s="3"/>
    </row>
    <row r="959" ht="15.75" customHeight="1">
      <c r="C959" s="1"/>
      <c r="D959" s="1"/>
      <c r="E959" s="1"/>
      <c r="F959" s="1"/>
      <c r="G959" s="2"/>
      <c r="H959" s="2"/>
      <c r="P959" s="3"/>
    </row>
  </sheetData>
  <mergeCells count="61">
    <mergeCell ref="R4:T4"/>
    <mergeCell ref="R5:T5"/>
    <mergeCell ref="G7:N7"/>
    <mergeCell ref="R7:T7"/>
    <mergeCell ref="G9:N9"/>
    <mergeCell ref="G10:N10"/>
    <mergeCell ref="G8:N8"/>
    <mergeCell ref="G47:N47"/>
    <mergeCell ref="R8:T8"/>
    <mergeCell ref="R6:T6"/>
    <mergeCell ref="G6:N6"/>
    <mergeCell ref="G24:N24"/>
    <mergeCell ref="G25:N25"/>
    <mergeCell ref="G26:N26"/>
    <mergeCell ref="G27:N27"/>
    <mergeCell ref="G40:N40"/>
    <mergeCell ref="G41:N41"/>
    <mergeCell ref="G42:N42"/>
    <mergeCell ref="G43:N43"/>
    <mergeCell ref="G44:N44"/>
    <mergeCell ref="G39:N39"/>
    <mergeCell ref="G2:N2"/>
    <mergeCell ref="R2:T2"/>
    <mergeCell ref="B3:B14"/>
    <mergeCell ref="R3:T3"/>
    <mergeCell ref="G3:N3"/>
    <mergeCell ref="G13:N13"/>
    <mergeCell ref="G14:N14"/>
    <mergeCell ref="G17:N17"/>
    <mergeCell ref="R17:T17"/>
    <mergeCell ref="R18:T18"/>
    <mergeCell ref="R19:T19"/>
    <mergeCell ref="R20:T20"/>
    <mergeCell ref="R21:T21"/>
    <mergeCell ref="R22:T22"/>
    <mergeCell ref="R32:T32"/>
    <mergeCell ref="R33:T33"/>
    <mergeCell ref="R34:T34"/>
    <mergeCell ref="R35:T35"/>
    <mergeCell ref="R36:T36"/>
    <mergeCell ref="R37:T37"/>
    <mergeCell ref="G11:N11"/>
    <mergeCell ref="G12:N12"/>
    <mergeCell ref="B18:B29"/>
    <mergeCell ref="G58:N58"/>
    <mergeCell ref="B48:B59"/>
    <mergeCell ref="G48:N48"/>
    <mergeCell ref="G49:N49"/>
    <mergeCell ref="G50:N50"/>
    <mergeCell ref="G59:N59"/>
    <mergeCell ref="G51:N51"/>
    <mergeCell ref="G52:N52"/>
    <mergeCell ref="G53:N53"/>
    <mergeCell ref="G54:N54"/>
    <mergeCell ref="G55:N55"/>
    <mergeCell ref="G56:N56"/>
    <mergeCell ref="G57:N57"/>
    <mergeCell ref="G28:N28"/>
    <mergeCell ref="G29:N29"/>
    <mergeCell ref="G32:N32"/>
    <mergeCell ref="B33:B44"/>
  </mergeCells>
  <hyperlinks>
    <hyperlink r:id="rId1" ref="G3"/>
    <hyperlink r:id="rId2" ref="G4"/>
    <hyperlink r:id="rId3" ref="G5"/>
    <hyperlink r:id="rId4" ref="G18"/>
    <hyperlink r:id="rId5" ref="G19"/>
    <hyperlink r:id="rId6" ref="G20"/>
    <hyperlink r:id="rId7" ref="G21"/>
    <hyperlink r:id="rId8" ref="G22"/>
    <hyperlink r:id="rId9" ref="G23"/>
    <hyperlink r:id="rId10" ref="G33"/>
    <hyperlink r:id="rId11" ref="G34"/>
    <hyperlink r:id="rId12" ref="G35"/>
    <hyperlink r:id="rId13" ref="G36"/>
    <hyperlink r:id="rId14" ref="G37"/>
    <hyperlink r:id="rId15" ref="G38"/>
  </hyperlinks>
  <printOptions/>
  <pageMargins bottom="1.0" footer="0.0" header="0.0" left="0.75" right="0.75" top="1.0"/>
  <pageSetup orientation="portrait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6.13"/>
    <col customWidth="1" min="2" max="2" width="12.13"/>
    <col customWidth="1" min="3" max="3" width="15.13"/>
    <col customWidth="1" min="4" max="4" width="9.13"/>
    <col customWidth="1" min="5" max="5" width="12.13"/>
    <col customWidth="1" min="6" max="6" width="9.38"/>
    <col customWidth="1" min="7" max="8" width="10.75"/>
    <col customWidth="1" min="9" max="9" width="14.5"/>
    <col customWidth="1" min="10" max="10" width="12.75"/>
    <col customWidth="1" min="11" max="25" width="10.75"/>
    <col customWidth="1" min="26" max="26" width="14.5"/>
  </cols>
  <sheetData>
    <row r="1">
      <c r="A1" s="70" t="s">
        <v>95</v>
      </c>
      <c r="B1" s="71"/>
      <c r="C1" s="71"/>
      <c r="D1" s="71"/>
      <c r="E1" s="71"/>
      <c r="F1" s="72"/>
      <c r="G1" s="73" t="str">
        <f>G13/PRECIO</f>
        <v>#VALUE!</v>
      </c>
      <c r="H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</row>
    <row r="2" ht="12.75" customHeight="1">
      <c r="A2" s="74"/>
      <c r="B2" s="71"/>
      <c r="C2" s="71"/>
      <c r="D2" s="71"/>
      <c r="E2" s="71"/>
      <c r="F2" s="72"/>
      <c r="G2" s="71"/>
      <c r="H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</row>
    <row r="3" ht="30.0" customHeight="1">
      <c r="A3" s="75" t="s">
        <v>96</v>
      </c>
      <c r="B3" s="76" t="s">
        <v>97</v>
      </c>
      <c r="C3" s="76" t="s">
        <v>98</v>
      </c>
      <c r="D3" s="77" t="s">
        <v>99</v>
      </c>
      <c r="E3" s="78" t="s">
        <v>100</v>
      </c>
      <c r="F3" s="76" t="s">
        <v>101</v>
      </c>
      <c r="G3" s="76" t="s">
        <v>102</v>
      </c>
    </row>
    <row r="4" ht="12.75" customHeight="1">
      <c r="A4" s="79" t="s">
        <v>103</v>
      </c>
      <c r="B4" s="80"/>
      <c r="C4" s="80"/>
      <c r="D4" s="80"/>
      <c r="E4" s="80"/>
      <c r="F4" s="81"/>
      <c r="G4" s="82"/>
    </row>
    <row r="5" ht="12.75" customHeight="1">
      <c r="A5" s="83" t="s">
        <v>104</v>
      </c>
      <c r="B5" s="84"/>
      <c r="C5" s="84" t="str">
        <f>PERT!Q25</f>
        <v>#VALUE!</v>
      </c>
      <c r="D5" s="85" t="str">
        <f t="shared" ref="D5:D7" si="1">SUM(B5:C5)</f>
        <v>#VALUE!</v>
      </c>
      <c r="E5" s="86">
        <v>0.2</v>
      </c>
      <c r="F5" s="87">
        <v>6.0</v>
      </c>
      <c r="G5" s="88" t="str">
        <f>IF(REMUNERACIONES!$B5&lt;&gt;0,REMUNERACIONES!$D5,D5*E5*F5)</f>
        <v>#VALUE!</v>
      </c>
      <c r="H5" s="35" t="str">
        <f t="shared" ref="H5:H6" si="2">IF(AND(B5&gt;0,C5&gt;0),"*** ERROR ***","")</f>
        <v>#VALUE!</v>
      </c>
    </row>
    <row r="6" ht="12.75" customHeight="1">
      <c r="A6" s="83" t="s">
        <v>105</v>
      </c>
      <c r="B6" s="84"/>
      <c r="C6" s="84" t="str">
        <f>PERT!Q12</f>
        <v>#VALUE!</v>
      </c>
      <c r="D6" s="85" t="str">
        <f t="shared" si="1"/>
        <v>#VALUE!</v>
      </c>
      <c r="E6" s="86">
        <v>0.2</v>
      </c>
      <c r="F6" s="87">
        <v>1.0</v>
      </c>
      <c r="G6" s="88" t="str">
        <f>IF(REMUNERACIONES!$B6&lt;&gt;0,REMUNERACIONES!$D6,D6*E6*F6)</f>
        <v>#VALUE!</v>
      </c>
      <c r="H6" s="35" t="str">
        <f t="shared" si="2"/>
        <v>#VALUE!</v>
      </c>
    </row>
    <row r="7" ht="12.75" customHeight="1">
      <c r="A7" s="89" t="s">
        <v>106</v>
      </c>
      <c r="B7" s="84">
        <v>800000.0</v>
      </c>
      <c r="C7" s="84"/>
      <c r="D7" s="85">
        <f t="shared" si="1"/>
        <v>800000</v>
      </c>
      <c r="E7" s="86"/>
      <c r="F7" s="87"/>
      <c r="G7" s="88">
        <f>IF(REMUNERACIONES!$B7&lt;&gt;0,REMUNERACIONES!$D7,D7*E7*F7)</f>
        <v>800000</v>
      </c>
      <c r="H7" s="35"/>
    </row>
    <row r="8" ht="12.75" customHeight="1">
      <c r="A8" s="79" t="s">
        <v>107</v>
      </c>
      <c r="B8" s="84"/>
      <c r="C8" s="84"/>
      <c r="D8" s="85"/>
      <c r="E8" s="90"/>
      <c r="F8" s="91"/>
      <c r="G8" s="88">
        <f>IF(REMUNERACIONES!$B8&lt;&gt;0,REMUNERACIONES!$D8,D8*E8*F8)</f>
        <v>0</v>
      </c>
      <c r="H8" s="35" t="str">
        <f>IF(AND(B8&gt;0,C8&gt;0),"*** ERROR ***","")</f>
        <v/>
      </c>
    </row>
    <row r="9" ht="12.75" customHeight="1">
      <c r="A9" s="89" t="s">
        <v>108</v>
      </c>
      <c r="B9" s="84"/>
      <c r="C9" s="84">
        <v>1500000.0</v>
      </c>
      <c r="D9" s="85">
        <f t="shared" ref="D9:D12" si="3">SUM(B9:C9)</f>
        <v>1500000</v>
      </c>
      <c r="E9" s="86">
        <v>0.5</v>
      </c>
      <c r="F9" s="87">
        <v>4.0</v>
      </c>
      <c r="G9" s="88">
        <f>IF(REMUNERACIONES!$B9&lt;&gt;0,REMUNERACIONES!$D9,D9*E9*F9)</f>
        <v>3000000</v>
      </c>
      <c r="H9" s="35"/>
    </row>
    <row r="10" ht="12.75" customHeight="1">
      <c r="A10" s="89" t="s">
        <v>109</v>
      </c>
      <c r="B10" s="84"/>
      <c r="C10" s="84">
        <v>1200000.0</v>
      </c>
      <c r="D10" s="85">
        <f t="shared" si="3"/>
        <v>1200000</v>
      </c>
      <c r="E10" s="86">
        <v>0.5</v>
      </c>
      <c r="F10" s="87">
        <v>4.0</v>
      </c>
      <c r="G10" s="88">
        <f>IF(REMUNERACIONES!$B10&lt;&gt;0,REMUNERACIONES!$D10,D10*E10*F10)</f>
        <v>2400000</v>
      </c>
      <c r="H10" s="35"/>
    </row>
    <row r="11" ht="12.75" customHeight="1">
      <c r="A11" s="89" t="s">
        <v>110</v>
      </c>
      <c r="B11" s="84"/>
      <c r="C11" s="84">
        <v>1000000.0</v>
      </c>
      <c r="D11" s="85">
        <f t="shared" si="3"/>
        <v>1000000</v>
      </c>
      <c r="E11" s="86">
        <v>0.5</v>
      </c>
      <c r="F11" s="87">
        <v>4.0</v>
      </c>
      <c r="G11" s="88">
        <f>IF(REMUNERACIONES!$B11&lt;&gt;0,REMUNERACIONES!$D11,D11*E11*F11)</f>
        <v>2000000</v>
      </c>
      <c r="H11" s="35"/>
    </row>
    <row r="12" ht="12.75" customHeight="1">
      <c r="A12" s="83" t="s">
        <v>111</v>
      </c>
      <c r="B12" s="84"/>
      <c r="C12" s="84">
        <v>1200000.0</v>
      </c>
      <c r="D12" s="85">
        <f t="shared" si="3"/>
        <v>1200000</v>
      </c>
      <c r="E12" s="86">
        <v>0.5</v>
      </c>
      <c r="F12" s="87">
        <v>3.0</v>
      </c>
      <c r="G12" s="88">
        <f>IF(REMUNERACIONES!$B12&lt;&gt;0,REMUNERACIONES!$D12,D12*E12*F12)</f>
        <v>1800000</v>
      </c>
      <c r="H12" s="35" t="str">
        <f>IF(AND(B12&gt;0,C12&gt;0),"*** ERROR ***","")</f>
        <v/>
      </c>
    </row>
    <row r="13" ht="12.75" customHeight="1">
      <c r="A13" s="92" t="s">
        <v>99</v>
      </c>
      <c r="B13" s="93"/>
      <c r="C13" s="93"/>
      <c r="D13" s="93"/>
      <c r="E13" s="93"/>
      <c r="F13" s="94"/>
      <c r="G13" s="95" t="str">
        <f>SUM(G4:G12)</f>
        <v>#VALUE!</v>
      </c>
    </row>
    <row r="14" ht="9.0" customHeight="1">
      <c r="A14" s="96"/>
      <c r="B14" s="80"/>
      <c r="C14" s="80"/>
      <c r="D14" s="80"/>
      <c r="E14" s="97"/>
      <c r="F14" s="98"/>
      <c r="G14" s="99"/>
    </row>
    <row r="15" ht="89.25" customHeight="1">
      <c r="A15" s="96"/>
      <c r="B15" s="80"/>
      <c r="C15" s="80"/>
      <c r="D15" s="80"/>
      <c r="E15" s="97"/>
      <c r="F15" s="98"/>
      <c r="G15" s="99"/>
      <c r="I15" s="100" t="s">
        <v>112</v>
      </c>
    </row>
    <row r="16" ht="12.75" customHeight="1">
      <c r="A16" s="101"/>
      <c r="F16" s="1"/>
    </row>
    <row r="17" ht="12.75" customHeight="1">
      <c r="A17" s="101"/>
      <c r="F17" s="1"/>
    </row>
    <row r="18" ht="12.75" customHeight="1">
      <c r="A18" s="101"/>
      <c r="F18" s="1"/>
    </row>
    <row r="19" ht="12.75" customHeight="1">
      <c r="A19" s="74"/>
      <c r="F19" s="1"/>
    </row>
    <row r="20" ht="12.75" customHeight="1">
      <c r="A20" s="102"/>
      <c r="F20" s="1"/>
    </row>
    <row r="21" ht="12.75" customHeight="1">
      <c r="A21" s="102"/>
      <c r="F21" s="1"/>
    </row>
    <row r="22" ht="12.75" customHeight="1">
      <c r="F22" s="1"/>
    </row>
    <row r="23" ht="12.75" customHeight="1">
      <c r="F23" s="1"/>
    </row>
    <row r="24" ht="12.75" customHeight="1">
      <c r="F24" s="1"/>
    </row>
    <row r="25" ht="12.75" customHeight="1">
      <c r="F25" s="1"/>
    </row>
    <row r="26" ht="12.75" customHeight="1">
      <c r="F26" s="1"/>
    </row>
    <row r="27" ht="12.75" customHeight="1">
      <c r="F27" s="1"/>
    </row>
    <row r="28" ht="12.75" customHeight="1">
      <c r="F28" s="1"/>
    </row>
    <row r="29" ht="12.75" customHeight="1">
      <c r="F29" s="1"/>
    </row>
    <row r="30" ht="12.75" customHeight="1">
      <c r="F30" s="1"/>
    </row>
    <row r="31" ht="12.75" customHeight="1">
      <c r="F31" s="1"/>
    </row>
    <row r="32" ht="12.75" customHeight="1">
      <c r="F32" s="1"/>
    </row>
    <row r="33" ht="12.75" customHeight="1">
      <c r="F33" s="1"/>
    </row>
    <row r="34" ht="12.75" customHeight="1">
      <c r="F34" s="1"/>
    </row>
    <row r="35" ht="12.75" customHeight="1">
      <c r="F35" s="1"/>
    </row>
    <row r="36" ht="12.75" customHeight="1">
      <c r="F36" s="1"/>
    </row>
    <row r="37" ht="12.75" customHeight="1">
      <c r="F37" s="1"/>
    </row>
    <row r="38" ht="12.75" customHeight="1">
      <c r="F38" s="1"/>
    </row>
    <row r="39" ht="12.75" customHeight="1">
      <c r="F39" s="1"/>
    </row>
    <row r="40" ht="12.75" customHeight="1">
      <c r="F40" s="1"/>
    </row>
    <row r="41" ht="12.75" customHeight="1">
      <c r="F41" s="1"/>
    </row>
    <row r="42" ht="12.75" customHeight="1">
      <c r="F42" s="1"/>
    </row>
    <row r="43" ht="12.75" customHeight="1">
      <c r="F43" s="1"/>
    </row>
    <row r="44" ht="12.75" customHeight="1">
      <c r="F44" s="1"/>
    </row>
    <row r="45" ht="12.75" customHeight="1">
      <c r="F45" s="1"/>
    </row>
    <row r="46" ht="12.75" customHeight="1">
      <c r="F46" s="1"/>
    </row>
    <row r="47" ht="12.75" customHeight="1">
      <c r="F47" s="1"/>
    </row>
    <row r="48" ht="12.75" customHeight="1">
      <c r="F48" s="1"/>
    </row>
    <row r="49" ht="12.75" customHeight="1">
      <c r="F49" s="1"/>
    </row>
    <row r="50" ht="12.75" customHeight="1">
      <c r="F50" s="1"/>
    </row>
    <row r="51" ht="12.75" customHeight="1">
      <c r="F51" s="1"/>
    </row>
    <row r="52" ht="12.75" customHeight="1">
      <c r="F52" s="1"/>
    </row>
    <row r="53" ht="12.75" customHeight="1">
      <c r="F53" s="1"/>
    </row>
    <row r="54" ht="12.75" customHeight="1">
      <c r="F54" s="1"/>
    </row>
    <row r="55" ht="12.75" customHeight="1">
      <c r="F55" s="1"/>
    </row>
    <row r="56" ht="12.75" customHeight="1">
      <c r="F56" s="1"/>
    </row>
    <row r="57" ht="12.75" customHeight="1">
      <c r="F57" s="1"/>
    </row>
    <row r="58" ht="12.75" customHeight="1">
      <c r="F58" s="1"/>
    </row>
    <row r="59" ht="12.75" customHeight="1">
      <c r="F59" s="1"/>
    </row>
    <row r="60" ht="12.75" customHeight="1">
      <c r="F60" s="1"/>
    </row>
    <row r="61" ht="12.75" customHeight="1">
      <c r="F61" s="1"/>
    </row>
    <row r="62" ht="12.75" customHeight="1">
      <c r="F62" s="1"/>
    </row>
    <row r="63" ht="12.75" customHeight="1">
      <c r="F63" s="1"/>
    </row>
    <row r="64" ht="12.75" customHeight="1">
      <c r="F64" s="1"/>
    </row>
    <row r="65" ht="12.75" customHeight="1">
      <c r="F65" s="1"/>
    </row>
    <row r="66" ht="12.75" customHeight="1">
      <c r="F66" s="1"/>
    </row>
    <row r="67" ht="12.75" customHeight="1">
      <c r="F67" s="1"/>
    </row>
    <row r="68" ht="12.75" customHeight="1">
      <c r="F68" s="1"/>
    </row>
    <row r="69" ht="12.75" customHeight="1">
      <c r="F69" s="1"/>
    </row>
    <row r="70" ht="12.75" customHeight="1">
      <c r="F70" s="1"/>
    </row>
    <row r="71" ht="12.75" customHeight="1">
      <c r="F71" s="1"/>
    </row>
    <row r="72" ht="12.75" customHeight="1">
      <c r="F72" s="1"/>
    </row>
    <row r="73" ht="12.75" customHeight="1">
      <c r="F73" s="1"/>
    </row>
    <row r="74" ht="12.75" customHeight="1">
      <c r="F74" s="1"/>
    </row>
    <row r="75" ht="12.75" customHeight="1">
      <c r="F75" s="1"/>
    </row>
    <row r="76" ht="12.75" customHeight="1">
      <c r="F76" s="1"/>
    </row>
    <row r="77" ht="12.75" customHeight="1">
      <c r="F77" s="1"/>
    </row>
    <row r="78" ht="12.75" customHeight="1">
      <c r="F78" s="1"/>
    </row>
    <row r="79" ht="12.75" customHeight="1">
      <c r="F79" s="1"/>
    </row>
    <row r="80" ht="12.75" customHeight="1">
      <c r="F80" s="1"/>
    </row>
    <row r="81" ht="12.75" customHeight="1">
      <c r="F81" s="1"/>
    </row>
    <row r="82" ht="12.75" customHeight="1">
      <c r="F82" s="1"/>
    </row>
    <row r="83" ht="12.75" customHeight="1">
      <c r="F83" s="1"/>
    </row>
    <row r="84" ht="12.75" customHeight="1">
      <c r="F84" s="1"/>
    </row>
    <row r="85" ht="12.75" customHeight="1">
      <c r="F85" s="1"/>
    </row>
    <row r="86" ht="12.75" customHeight="1">
      <c r="F86" s="1"/>
    </row>
    <row r="87" ht="12.75" customHeight="1">
      <c r="F87" s="1"/>
    </row>
    <row r="88" ht="12.75" customHeight="1">
      <c r="F88" s="1"/>
    </row>
    <row r="89" ht="12.75" customHeight="1">
      <c r="F89" s="1"/>
    </row>
    <row r="90" ht="12.75" customHeight="1">
      <c r="F90" s="1"/>
    </row>
    <row r="91" ht="12.75" customHeight="1">
      <c r="F91" s="1"/>
    </row>
    <row r="92" ht="12.75" customHeight="1">
      <c r="F92" s="1"/>
    </row>
    <row r="93" ht="12.75" customHeight="1">
      <c r="F93" s="1"/>
    </row>
    <row r="94" ht="12.75" customHeight="1">
      <c r="F94" s="1"/>
    </row>
    <row r="95" ht="12.75" customHeight="1">
      <c r="F95" s="1"/>
    </row>
    <row r="96" ht="12.75" customHeight="1">
      <c r="F96" s="1"/>
    </row>
    <row r="97" ht="12.75" customHeight="1">
      <c r="F97" s="1"/>
    </row>
    <row r="98" ht="12.75" customHeight="1">
      <c r="F98" s="1"/>
    </row>
    <row r="99" ht="12.75" customHeight="1">
      <c r="F99" s="1"/>
    </row>
    <row r="100" ht="12.75" customHeight="1">
      <c r="F100" s="1"/>
    </row>
    <row r="101" ht="12.75" customHeight="1">
      <c r="F101" s="1"/>
    </row>
    <row r="102" ht="12.75" customHeight="1">
      <c r="F102" s="1"/>
    </row>
    <row r="103" ht="12.75" customHeight="1">
      <c r="F103" s="1"/>
    </row>
    <row r="104" ht="12.75" customHeight="1">
      <c r="F104" s="1"/>
    </row>
    <row r="105" ht="12.75" customHeight="1">
      <c r="F105" s="1"/>
    </row>
    <row r="106" ht="12.75" customHeight="1">
      <c r="F106" s="1"/>
    </row>
    <row r="107" ht="12.75" customHeight="1">
      <c r="F107" s="1"/>
    </row>
    <row r="108" ht="12.75" customHeight="1">
      <c r="F108" s="1"/>
    </row>
    <row r="109" ht="12.75" customHeight="1">
      <c r="F109" s="1"/>
    </row>
    <row r="110" ht="12.75" customHeight="1">
      <c r="F110" s="1"/>
    </row>
    <row r="111" ht="12.75" customHeight="1">
      <c r="F111" s="1"/>
    </row>
    <row r="112" ht="12.75" customHeight="1">
      <c r="F112" s="1"/>
    </row>
    <row r="113" ht="12.75" customHeight="1">
      <c r="F113" s="1"/>
    </row>
    <row r="114" ht="12.75" customHeight="1">
      <c r="F114" s="1"/>
    </row>
    <row r="115" ht="12.75" customHeight="1">
      <c r="F115" s="1"/>
    </row>
    <row r="116" ht="12.75" customHeight="1">
      <c r="F116" s="1"/>
    </row>
    <row r="117" ht="12.75" customHeight="1">
      <c r="F117" s="1"/>
    </row>
    <row r="118" ht="12.75" customHeight="1">
      <c r="F118" s="1"/>
    </row>
    <row r="119" ht="12.75" customHeight="1">
      <c r="F119" s="1"/>
    </row>
    <row r="120" ht="12.75" customHeight="1">
      <c r="F120" s="1"/>
    </row>
    <row r="121" ht="12.75" customHeight="1">
      <c r="F121" s="1"/>
    </row>
    <row r="122" ht="12.75" customHeight="1">
      <c r="F122" s="1"/>
    </row>
    <row r="123" ht="12.75" customHeight="1">
      <c r="F123" s="1"/>
    </row>
    <row r="124" ht="12.75" customHeight="1">
      <c r="F124" s="1"/>
    </row>
    <row r="125" ht="12.75" customHeight="1">
      <c r="F125" s="1"/>
    </row>
    <row r="126" ht="12.75" customHeight="1">
      <c r="F126" s="1"/>
    </row>
    <row r="127" ht="12.75" customHeight="1">
      <c r="F127" s="1"/>
    </row>
    <row r="128" ht="12.75" customHeight="1">
      <c r="F128" s="1"/>
    </row>
    <row r="129" ht="12.75" customHeight="1">
      <c r="F129" s="1"/>
    </row>
    <row r="130" ht="12.75" customHeight="1">
      <c r="F130" s="1"/>
    </row>
    <row r="131" ht="12.75" customHeight="1">
      <c r="F131" s="1"/>
    </row>
    <row r="132" ht="12.75" customHeight="1">
      <c r="F132" s="1"/>
    </row>
    <row r="133" ht="12.75" customHeight="1">
      <c r="F133" s="1"/>
    </row>
    <row r="134" ht="12.75" customHeight="1">
      <c r="F134" s="1"/>
    </row>
    <row r="135" ht="12.75" customHeight="1">
      <c r="F135" s="1"/>
    </row>
    <row r="136" ht="12.75" customHeight="1">
      <c r="F136" s="1"/>
    </row>
    <row r="137" ht="12.75" customHeight="1">
      <c r="F137" s="1"/>
    </row>
    <row r="138" ht="12.75" customHeight="1">
      <c r="F138" s="1"/>
    </row>
    <row r="139" ht="12.75" customHeight="1">
      <c r="F139" s="1"/>
    </row>
    <row r="140" ht="12.75" customHeight="1">
      <c r="F140" s="1"/>
    </row>
    <row r="141" ht="12.75" customHeight="1">
      <c r="F141" s="1"/>
    </row>
    <row r="142" ht="12.75" customHeight="1">
      <c r="F142" s="1"/>
    </row>
    <row r="143" ht="12.75" customHeight="1">
      <c r="F143" s="1"/>
    </row>
    <row r="144" ht="12.75" customHeight="1">
      <c r="F144" s="1"/>
    </row>
    <row r="145" ht="12.75" customHeight="1">
      <c r="F145" s="1"/>
    </row>
    <row r="146" ht="12.75" customHeight="1">
      <c r="F146" s="1"/>
    </row>
    <row r="147" ht="12.75" customHeight="1">
      <c r="F147" s="1"/>
    </row>
    <row r="148" ht="12.75" customHeight="1">
      <c r="F148" s="1"/>
    </row>
    <row r="149" ht="12.75" customHeight="1">
      <c r="F149" s="1"/>
    </row>
    <row r="150" ht="12.75" customHeight="1">
      <c r="F150" s="1"/>
    </row>
    <row r="151" ht="12.75" customHeight="1">
      <c r="F151" s="1"/>
    </row>
    <row r="152" ht="12.75" customHeight="1">
      <c r="F152" s="1"/>
    </row>
    <row r="153" ht="12.75" customHeight="1">
      <c r="F153" s="1"/>
    </row>
    <row r="154" ht="12.75" customHeight="1">
      <c r="F154" s="1"/>
    </row>
    <row r="155" ht="12.75" customHeight="1">
      <c r="F155" s="1"/>
    </row>
    <row r="156" ht="12.75" customHeight="1">
      <c r="F156" s="1"/>
    </row>
    <row r="157" ht="12.75" customHeight="1">
      <c r="F157" s="1"/>
    </row>
    <row r="158" ht="12.75" customHeight="1">
      <c r="F158" s="1"/>
    </row>
    <row r="159" ht="12.75" customHeight="1">
      <c r="F159" s="1"/>
    </row>
    <row r="160" ht="12.75" customHeight="1">
      <c r="F160" s="1"/>
    </row>
    <row r="161" ht="12.75" customHeight="1">
      <c r="F161" s="1"/>
    </row>
    <row r="162" ht="12.75" customHeight="1">
      <c r="F162" s="1"/>
    </row>
    <row r="163" ht="12.75" customHeight="1">
      <c r="F163" s="1"/>
    </row>
    <row r="164" ht="12.75" customHeight="1">
      <c r="F164" s="1"/>
    </row>
    <row r="165" ht="12.75" customHeight="1">
      <c r="F165" s="1"/>
    </row>
    <row r="166" ht="12.75" customHeight="1">
      <c r="F166" s="1"/>
    </row>
    <row r="167" ht="12.75" customHeight="1">
      <c r="F167" s="1"/>
    </row>
    <row r="168" ht="12.75" customHeight="1">
      <c r="F168" s="1"/>
    </row>
    <row r="169" ht="12.75" customHeight="1">
      <c r="F169" s="1"/>
    </row>
    <row r="170" ht="12.75" customHeight="1">
      <c r="F170" s="1"/>
    </row>
    <row r="171" ht="12.75" customHeight="1">
      <c r="F171" s="1"/>
    </row>
    <row r="172" ht="12.75" customHeight="1">
      <c r="F172" s="1"/>
    </row>
    <row r="173" ht="12.75" customHeight="1">
      <c r="F173" s="1"/>
    </row>
    <row r="174" ht="12.75" customHeight="1">
      <c r="F174" s="1"/>
    </row>
    <row r="175" ht="12.75" customHeight="1">
      <c r="F175" s="1"/>
    </row>
    <row r="176" ht="12.75" customHeight="1">
      <c r="F176" s="1"/>
    </row>
    <row r="177" ht="12.75" customHeight="1">
      <c r="F177" s="1"/>
    </row>
    <row r="178" ht="12.75" customHeight="1">
      <c r="F178" s="1"/>
    </row>
    <row r="179" ht="12.75" customHeight="1">
      <c r="F179" s="1"/>
    </row>
    <row r="180" ht="12.75" customHeight="1">
      <c r="F180" s="1"/>
    </row>
    <row r="181" ht="12.75" customHeight="1">
      <c r="F181" s="1"/>
    </row>
    <row r="182" ht="12.75" customHeight="1">
      <c r="F182" s="1"/>
    </row>
    <row r="183" ht="12.75" customHeight="1">
      <c r="F183" s="1"/>
    </row>
    <row r="184" ht="12.75" customHeight="1">
      <c r="F184" s="1"/>
    </row>
    <row r="185" ht="12.75" customHeight="1">
      <c r="F185" s="1"/>
    </row>
    <row r="186" ht="12.75" customHeight="1">
      <c r="F186" s="1"/>
    </row>
    <row r="187" ht="12.75" customHeight="1">
      <c r="F187" s="1"/>
    </row>
    <row r="188" ht="12.75" customHeight="1">
      <c r="F188" s="1"/>
    </row>
    <row r="189" ht="12.75" customHeight="1">
      <c r="F189" s="1"/>
    </row>
    <row r="190" ht="12.75" customHeight="1">
      <c r="F190" s="1"/>
    </row>
    <row r="191" ht="12.75" customHeight="1">
      <c r="F191" s="1"/>
    </row>
    <row r="192" ht="12.75" customHeight="1">
      <c r="F192" s="1"/>
    </row>
    <row r="193" ht="12.75" customHeight="1">
      <c r="F193" s="1"/>
    </row>
    <row r="194" ht="12.75" customHeight="1">
      <c r="F194" s="1"/>
    </row>
    <row r="195" ht="12.75" customHeight="1">
      <c r="F195" s="1"/>
    </row>
    <row r="196" ht="12.75" customHeight="1">
      <c r="F196" s="1"/>
    </row>
    <row r="197" ht="12.75" customHeight="1">
      <c r="F197" s="1"/>
    </row>
    <row r="198" ht="12.75" customHeight="1">
      <c r="F198" s="1"/>
    </row>
    <row r="199" ht="12.75" customHeight="1">
      <c r="F199" s="1"/>
    </row>
    <row r="200" ht="12.75" customHeight="1">
      <c r="F200" s="1"/>
    </row>
    <row r="201" ht="12.75" customHeight="1">
      <c r="F201" s="1"/>
    </row>
    <row r="202" ht="12.75" customHeight="1">
      <c r="F202" s="1"/>
    </row>
    <row r="203" ht="12.75" customHeight="1">
      <c r="F203" s="1"/>
    </row>
    <row r="204" ht="12.75" customHeight="1">
      <c r="F204" s="1"/>
    </row>
    <row r="205" ht="12.75" customHeight="1">
      <c r="F205" s="1"/>
    </row>
    <row r="206" ht="12.75" customHeight="1">
      <c r="F206" s="1"/>
    </row>
    <row r="207" ht="12.75" customHeight="1">
      <c r="F207" s="1"/>
    </row>
    <row r="208" ht="12.75" customHeight="1">
      <c r="F208" s="1"/>
    </row>
    <row r="209" ht="12.75" customHeight="1">
      <c r="F209" s="1"/>
    </row>
    <row r="210" ht="12.75" customHeight="1">
      <c r="F210" s="1"/>
    </row>
    <row r="211" ht="12.75" customHeight="1">
      <c r="F211" s="1"/>
    </row>
    <row r="212" ht="12.75" customHeight="1">
      <c r="F212" s="1"/>
    </row>
    <row r="213" ht="12.75" customHeight="1">
      <c r="F213" s="1"/>
    </row>
    <row r="214" ht="12.75" customHeight="1">
      <c r="F214" s="1"/>
    </row>
    <row r="215" ht="12.75" customHeight="1">
      <c r="F215" s="1"/>
    </row>
    <row r="216" ht="12.75" customHeight="1">
      <c r="F216" s="1"/>
    </row>
    <row r="217" ht="12.75" customHeight="1">
      <c r="F217" s="1"/>
    </row>
    <row r="218" ht="12.75" customHeight="1">
      <c r="F218" s="1"/>
    </row>
    <row r="219" ht="12.75" customHeight="1">
      <c r="F219" s="1"/>
    </row>
    <row r="220" ht="12.75" customHeight="1">
      <c r="F220" s="1"/>
    </row>
    <row r="221" ht="12.75" customHeight="1">
      <c r="F221" s="1"/>
    </row>
    <row r="222" ht="15.75" customHeight="1">
      <c r="F222" s="1"/>
    </row>
    <row r="223" ht="15.75" customHeight="1">
      <c r="F223" s="1"/>
    </row>
    <row r="224" ht="15.75" customHeight="1">
      <c r="F224" s="1"/>
    </row>
    <row r="225" ht="15.75" customHeight="1">
      <c r="F225" s="1"/>
    </row>
    <row r="226" ht="15.75" customHeight="1">
      <c r="F226" s="1"/>
    </row>
    <row r="227" ht="15.75" customHeight="1">
      <c r="F227" s="1"/>
    </row>
    <row r="228" ht="15.75" customHeight="1">
      <c r="F228" s="1"/>
    </row>
    <row r="229" ht="15.75" customHeight="1">
      <c r="F229" s="1"/>
    </row>
    <row r="230" ht="15.75" customHeight="1">
      <c r="F230" s="1"/>
    </row>
    <row r="231" ht="15.75" customHeight="1">
      <c r="F231" s="1"/>
    </row>
    <row r="232" ht="15.75" customHeight="1">
      <c r="F232" s="1"/>
    </row>
    <row r="233" ht="15.75" customHeight="1">
      <c r="F233" s="1"/>
    </row>
    <row r="234" ht="15.75" customHeight="1">
      <c r="F234" s="1"/>
    </row>
    <row r="235" ht="15.75" customHeight="1">
      <c r="F235" s="1"/>
    </row>
    <row r="236" ht="15.75" customHeight="1">
      <c r="F236" s="1"/>
    </row>
    <row r="237" ht="15.75" customHeight="1">
      <c r="F237" s="1"/>
    </row>
    <row r="238" ht="15.75" customHeight="1">
      <c r="F238" s="1"/>
    </row>
    <row r="239" ht="15.75" customHeight="1">
      <c r="F239" s="1"/>
    </row>
    <row r="240" ht="15.75" customHeight="1">
      <c r="F240" s="1"/>
    </row>
    <row r="241" ht="15.75" customHeight="1">
      <c r="F241" s="1"/>
    </row>
    <row r="242" ht="15.75" customHeight="1">
      <c r="F242" s="1"/>
    </row>
    <row r="243" ht="15.75" customHeight="1">
      <c r="F243" s="1"/>
    </row>
    <row r="244" ht="15.75" customHeight="1">
      <c r="F244" s="1"/>
    </row>
    <row r="245" ht="15.75" customHeight="1">
      <c r="F245" s="1"/>
    </row>
    <row r="246" ht="15.75" customHeight="1">
      <c r="F246" s="1"/>
    </row>
    <row r="247" ht="15.75" customHeight="1">
      <c r="F247" s="1"/>
    </row>
    <row r="248" ht="15.75" customHeight="1">
      <c r="F248" s="1"/>
    </row>
    <row r="249" ht="15.75" customHeight="1">
      <c r="F249" s="1"/>
    </row>
    <row r="250" ht="15.75" customHeight="1">
      <c r="F250" s="1"/>
    </row>
    <row r="251" ht="15.75" customHeight="1">
      <c r="F251" s="1"/>
    </row>
    <row r="252" ht="15.75" customHeight="1">
      <c r="F252" s="1"/>
    </row>
    <row r="253" ht="15.75" customHeight="1">
      <c r="F253" s="1"/>
    </row>
    <row r="254" ht="15.75" customHeight="1">
      <c r="F254" s="1"/>
    </row>
    <row r="255" ht="15.75" customHeight="1">
      <c r="F255" s="1"/>
    </row>
    <row r="256" ht="15.75" customHeight="1">
      <c r="F256" s="1"/>
    </row>
    <row r="257" ht="15.75" customHeight="1">
      <c r="F257" s="1"/>
    </row>
    <row r="258" ht="15.75" customHeight="1">
      <c r="F258" s="1"/>
    </row>
    <row r="259" ht="15.75" customHeight="1">
      <c r="F259" s="1"/>
    </row>
    <row r="260" ht="15.75" customHeight="1">
      <c r="F260" s="1"/>
    </row>
    <row r="261" ht="15.75" customHeight="1">
      <c r="F261" s="1"/>
    </row>
    <row r="262" ht="15.75" customHeight="1">
      <c r="F262" s="1"/>
    </row>
    <row r="263" ht="15.75" customHeight="1">
      <c r="F263" s="1"/>
    </row>
    <row r="264" ht="15.75" customHeight="1">
      <c r="F264" s="1"/>
    </row>
    <row r="265" ht="15.75" customHeight="1">
      <c r="F265" s="1"/>
    </row>
    <row r="266" ht="15.75" customHeight="1">
      <c r="F266" s="1"/>
    </row>
    <row r="267" ht="15.75" customHeight="1">
      <c r="F267" s="1"/>
    </row>
    <row r="268" ht="15.75" customHeight="1">
      <c r="F268" s="1"/>
    </row>
    <row r="269" ht="15.75" customHeight="1">
      <c r="F269" s="1"/>
    </row>
    <row r="270" ht="15.75" customHeight="1">
      <c r="F270" s="1"/>
    </row>
    <row r="271" ht="15.75" customHeight="1">
      <c r="F271" s="1"/>
    </row>
    <row r="272" ht="15.75" customHeight="1">
      <c r="F272" s="1"/>
    </row>
    <row r="273" ht="15.75" customHeight="1">
      <c r="F273" s="1"/>
    </row>
    <row r="274" ht="15.75" customHeight="1">
      <c r="F274" s="1"/>
    </row>
    <row r="275" ht="15.75" customHeight="1">
      <c r="F275" s="1"/>
    </row>
    <row r="276" ht="15.75" customHeight="1">
      <c r="F276" s="1"/>
    </row>
    <row r="277" ht="15.75" customHeight="1">
      <c r="F277" s="1"/>
    </row>
    <row r="278" ht="15.75" customHeight="1">
      <c r="F278" s="1"/>
    </row>
    <row r="279" ht="15.75" customHeight="1">
      <c r="F279" s="1"/>
    </row>
    <row r="280" ht="15.75" customHeight="1">
      <c r="F280" s="1"/>
    </row>
    <row r="281" ht="15.75" customHeight="1">
      <c r="F281" s="1"/>
    </row>
    <row r="282" ht="15.75" customHeight="1">
      <c r="F282" s="1"/>
    </row>
    <row r="283" ht="15.75" customHeight="1">
      <c r="F283" s="1"/>
    </row>
    <row r="284" ht="15.75" customHeight="1">
      <c r="F284" s="1"/>
    </row>
    <row r="285" ht="15.75" customHeight="1">
      <c r="F285" s="1"/>
    </row>
    <row r="286" ht="15.75" customHeight="1">
      <c r="F286" s="1"/>
    </row>
    <row r="287" ht="15.75" customHeight="1">
      <c r="F287" s="1"/>
    </row>
    <row r="288" ht="15.75" customHeight="1">
      <c r="F288" s="1"/>
    </row>
    <row r="289" ht="15.75" customHeight="1">
      <c r="F289" s="1"/>
    </row>
    <row r="290" ht="15.75" customHeight="1">
      <c r="F290" s="1"/>
    </row>
    <row r="291" ht="15.75" customHeight="1">
      <c r="F291" s="1"/>
    </row>
    <row r="292" ht="15.75" customHeight="1">
      <c r="F292" s="1"/>
    </row>
    <row r="293" ht="15.75" customHeight="1">
      <c r="F293" s="1"/>
    </row>
    <row r="294" ht="15.75" customHeight="1">
      <c r="F294" s="1"/>
    </row>
    <row r="295" ht="15.75" customHeight="1">
      <c r="F295" s="1"/>
    </row>
    <row r="296" ht="15.75" customHeight="1">
      <c r="F296" s="1"/>
    </row>
    <row r="297" ht="15.75" customHeight="1">
      <c r="F297" s="1"/>
    </row>
    <row r="298" ht="15.75" customHeight="1">
      <c r="F298" s="1"/>
    </row>
    <row r="299" ht="15.75" customHeight="1">
      <c r="F299" s="1"/>
    </row>
    <row r="300" ht="15.75" customHeight="1">
      <c r="F300" s="1"/>
    </row>
    <row r="301" ht="15.75" customHeight="1">
      <c r="F301" s="1"/>
    </row>
    <row r="302" ht="15.75" customHeight="1">
      <c r="F302" s="1"/>
    </row>
    <row r="303" ht="15.75" customHeight="1">
      <c r="F303" s="1"/>
    </row>
    <row r="304" ht="15.75" customHeight="1">
      <c r="F304" s="1"/>
    </row>
    <row r="305" ht="15.75" customHeight="1">
      <c r="F305" s="1"/>
    </row>
    <row r="306" ht="15.75" customHeight="1">
      <c r="F306" s="1"/>
    </row>
    <row r="307" ht="15.75" customHeight="1">
      <c r="F307" s="1"/>
    </row>
    <row r="308" ht="15.75" customHeight="1">
      <c r="F308" s="1"/>
    </row>
    <row r="309" ht="15.75" customHeight="1">
      <c r="F309" s="1"/>
    </row>
    <row r="310" ht="15.75" customHeight="1">
      <c r="F310" s="1"/>
    </row>
    <row r="311" ht="15.75" customHeight="1">
      <c r="F311" s="1"/>
    </row>
    <row r="312" ht="15.75" customHeight="1">
      <c r="F312" s="1"/>
    </row>
    <row r="313" ht="15.75" customHeight="1">
      <c r="F313" s="1"/>
    </row>
    <row r="314" ht="15.75" customHeight="1">
      <c r="F314" s="1"/>
    </row>
    <row r="315" ht="15.75" customHeight="1">
      <c r="F315" s="1"/>
    </row>
    <row r="316" ht="15.75" customHeight="1">
      <c r="F316" s="1"/>
    </row>
    <row r="317" ht="15.75" customHeight="1">
      <c r="F317" s="1"/>
    </row>
    <row r="318" ht="15.75" customHeight="1">
      <c r="F318" s="1"/>
    </row>
    <row r="319" ht="15.75" customHeight="1">
      <c r="F319" s="1"/>
    </row>
    <row r="320" ht="15.75" customHeight="1">
      <c r="F320" s="1"/>
    </row>
    <row r="321" ht="15.75" customHeight="1">
      <c r="F321" s="1"/>
    </row>
    <row r="322" ht="15.75" customHeight="1">
      <c r="F322" s="1"/>
    </row>
    <row r="323" ht="15.75" customHeight="1">
      <c r="F323" s="1"/>
    </row>
    <row r="324" ht="15.75" customHeight="1">
      <c r="F324" s="1"/>
    </row>
    <row r="325" ht="15.75" customHeight="1">
      <c r="F325" s="1"/>
    </row>
    <row r="326" ht="15.75" customHeight="1">
      <c r="F326" s="1"/>
    </row>
    <row r="327" ht="15.75" customHeight="1">
      <c r="F327" s="1"/>
    </row>
    <row r="328" ht="15.75" customHeight="1">
      <c r="F328" s="1"/>
    </row>
    <row r="329" ht="15.75" customHeight="1">
      <c r="F329" s="1"/>
    </row>
    <row r="330" ht="15.75" customHeight="1">
      <c r="F330" s="1"/>
    </row>
    <row r="331" ht="15.75" customHeight="1">
      <c r="F331" s="1"/>
    </row>
    <row r="332" ht="15.75" customHeight="1">
      <c r="F332" s="1"/>
    </row>
    <row r="333" ht="15.75" customHeight="1">
      <c r="F333" s="1"/>
    </row>
    <row r="334" ht="15.75" customHeight="1">
      <c r="F334" s="1"/>
    </row>
    <row r="335" ht="15.75" customHeight="1">
      <c r="F335" s="1"/>
    </row>
    <row r="336" ht="15.75" customHeight="1">
      <c r="F336" s="1"/>
    </row>
    <row r="337" ht="15.75" customHeight="1">
      <c r="F337" s="1"/>
    </row>
    <row r="338" ht="15.75" customHeight="1">
      <c r="F338" s="1"/>
    </row>
    <row r="339" ht="15.75" customHeight="1">
      <c r="F339" s="1"/>
    </row>
    <row r="340" ht="15.75" customHeight="1">
      <c r="F340" s="1"/>
    </row>
    <row r="341" ht="15.75" customHeight="1">
      <c r="F341" s="1"/>
    </row>
    <row r="342" ht="15.75" customHeight="1">
      <c r="F342" s="1"/>
    </row>
    <row r="343" ht="15.75" customHeight="1">
      <c r="F343" s="1"/>
    </row>
    <row r="344" ht="15.75" customHeight="1">
      <c r="F344" s="1"/>
    </row>
    <row r="345" ht="15.75" customHeight="1">
      <c r="F345" s="1"/>
    </row>
    <row r="346" ht="15.75" customHeight="1">
      <c r="F346" s="1"/>
    </row>
    <row r="347" ht="15.75" customHeight="1">
      <c r="F347" s="1"/>
    </row>
    <row r="348" ht="15.75" customHeight="1">
      <c r="F348" s="1"/>
    </row>
    <row r="349" ht="15.75" customHeight="1">
      <c r="F349" s="1"/>
    </row>
    <row r="350" ht="15.75" customHeight="1">
      <c r="F350" s="1"/>
    </row>
    <row r="351" ht="15.75" customHeight="1">
      <c r="F351" s="1"/>
    </row>
    <row r="352" ht="15.75" customHeight="1">
      <c r="F352" s="1"/>
    </row>
    <row r="353" ht="15.75" customHeight="1">
      <c r="F353" s="1"/>
    </row>
    <row r="354" ht="15.75" customHeight="1">
      <c r="F354" s="1"/>
    </row>
    <row r="355" ht="15.75" customHeight="1">
      <c r="F355" s="1"/>
    </row>
    <row r="356" ht="15.75" customHeight="1">
      <c r="F356" s="1"/>
    </row>
    <row r="357" ht="15.75" customHeight="1">
      <c r="F357" s="1"/>
    </row>
    <row r="358" ht="15.75" customHeight="1">
      <c r="F358" s="1"/>
    </row>
    <row r="359" ht="15.75" customHeight="1">
      <c r="F359" s="1"/>
    </row>
    <row r="360" ht="15.75" customHeight="1">
      <c r="F360" s="1"/>
    </row>
    <row r="361" ht="15.75" customHeight="1">
      <c r="F361" s="1"/>
    </row>
    <row r="362" ht="15.75" customHeight="1">
      <c r="F362" s="1"/>
    </row>
    <row r="363" ht="15.75" customHeight="1">
      <c r="F363" s="1"/>
    </row>
    <row r="364" ht="15.75" customHeight="1">
      <c r="F364" s="1"/>
    </row>
    <row r="365" ht="15.75" customHeight="1">
      <c r="F365" s="1"/>
    </row>
    <row r="366" ht="15.75" customHeight="1">
      <c r="F366" s="1"/>
    </row>
    <row r="367" ht="15.75" customHeight="1">
      <c r="F367" s="1"/>
    </row>
    <row r="368" ht="15.75" customHeight="1">
      <c r="F368" s="1"/>
    </row>
    <row r="369" ht="15.75" customHeight="1">
      <c r="F369" s="1"/>
    </row>
    <row r="370" ht="15.75" customHeight="1">
      <c r="F370" s="1"/>
    </row>
    <row r="371" ht="15.75" customHeight="1">
      <c r="F371" s="1"/>
    </row>
    <row r="372" ht="15.75" customHeight="1">
      <c r="F372" s="1"/>
    </row>
    <row r="373" ht="15.75" customHeight="1">
      <c r="F373" s="1"/>
    </row>
    <row r="374" ht="15.75" customHeight="1">
      <c r="F374" s="1"/>
    </row>
    <row r="375" ht="15.75" customHeight="1">
      <c r="F375" s="1"/>
    </row>
    <row r="376" ht="15.75" customHeight="1">
      <c r="F376" s="1"/>
    </row>
    <row r="377" ht="15.75" customHeight="1">
      <c r="F377" s="1"/>
    </row>
    <row r="378" ht="15.75" customHeight="1">
      <c r="F378" s="1"/>
    </row>
    <row r="379" ht="15.75" customHeight="1">
      <c r="F379" s="1"/>
    </row>
    <row r="380" ht="15.75" customHeight="1">
      <c r="F380" s="1"/>
    </row>
    <row r="381" ht="15.75" customHeight="1">
      <c r="F381" s="1"/>
    </row>
    <row r="382" ht="15.75" customHeight="1">
      <c r="F382" s="1"/>
    </row>
    <row r="383" ht="15.75" customHeight="1">
      <c r="F383" s="1"/>
    </row>
    <row r="384" ht="15.75" customHeight="1">
      <c r="F384" s="1"/>
    </row>
    <row r="385" ht="15.75" customHeight="1">
      <c r="F385" s="1"/>
    </row>
    <row r="386" ht="15.75" customHeight="1">
      <c r="F386" s="1"/>
    </row>
    <row r="387" ht="15.75" customHeight="1">
      <c r="F387" s="1"/>
    </row>
    <row r="388" ht="15.75" customHeight="1">
      <c r="F388" s="1"/>
    </row>
    <row r="389" ht="15.75" customHeight="1">
      <c r="F389" s="1"/>
    </row>
    <row r="390" ht="15.75" customHeight="1">
      <c r="F390" s="1"/>
    </row>
    <row r="391" ht="15.75" customHeight="1">
      <c r="F391" s="1"/>
    </row>
    <row r="392" ht="15.75" customHeight="1">
      <c r="F392" s="1"/>
    </row>
    <row r="393" ht="15.75" customHeight="1">
      <c r="F393" s="1"/>
    </row>
    <row r="394" ht="15.75" customHeight="1">
      <c r="F394" s="1"/>
    </row>
    <row r="395" ht="15.75" customHeight="1">
      <c r="F395" s="1"/>
    </row>
    <row r="396" ht="15.75" customHeight="1">
      <c r="F396" s="1"/>
    </row>
    <row r="397" ht="15.75" customHeight="1">
      <c r="F397" s="1"/>
    </row>
    <row r="398" ht="15.75" customHeight="1">
      <c r="F398" s="1"/>
    </row>
    <row r="399" ht="15.75" customHeight="1">
      <c r="F399" s="1"/>
    </row>
    <row r="400" ht="15.75" customHeight="1">
      <c r="F400" s="1"/>
    </row>
    <row r="401" ht="15.75" customHeight="1">
      <c r="F401" s="1"/>
    </row>
    <row r="402" ht="15.75" customHeight="1">
      <c r="F402" s="1"/>
    </row>
    <row r="403" ht="15.75" customHeight="1">
      <c r="F403" s="1"/>
    </row>
    <row r="404" ht="15.75" customHeight="1">
      <c r="F404" s="1"/>
    </row>
    <row r="405" ht="15.75" customHeight="1">
      <c r="F405" s="1"/>
    </row>
    <row r="406" ht="15.75" customHeight="1">
      <c r="F406" s="1"/>
    </row>
    <row r="407" ht="15.75" customHeight="1">
      <c r="F407" s="1"/>
    </row>
    <row r="408" ht="15.75" customHeight="1">
      <c r="F408" s="1"/>
    </row>
    <row r="409" ht="15.75" customHeight="1">
      <c r="F409" s="1"/>
    </row>
    <row r="410" ht="15.75" customHeight="1">
      <c r="F410" s="1"/>
    </row>
    <row r="411" ht="15.75" customHeight="1">
      <c r="F411" s="1"/>
    </row>
    <row r="412" ht="15.75" customHeight="1">
      <c r="F412" s="1"/>
    </row>
    <row r="413" ht="15.75" customHeight="1">
      <c r="F413" s="1"/>
    </row>
    <row r="414" ht="15.75" customHeight="1">
      <c r="F414" s="1"/>
    </row>
    <row r="415" ht="15.75" customHeight="1">
      <c r="F415" s="1"/>
    </row>
    <row r="416" ht="15.75" customHeight="1">
      <c r="F416" s="1"/>
    </row>
    <row r="417" ht="15.75" customHeight="1">
      <c r="F417" s="1"/>
    </row>
    <row r="418" ht="15.75" customHeight="1">
      <c r="F418" s="1"/>
    </row>
    <row r="419" ht="15.75" customHeight="1">
      <c r="F419" s="1"/>
    </row>
    <row r="420" ht="15.75" customHeight="1">
      <c r="F420" s="1"/>
    </row>
    <row r="421" ht="15.75" customHeight="1">
      <c r="F421" s="1"/>
    </row>
    <row r="422" ht="15.75" customHeight="1">
      <c r="F422" s="1"/>
    </row>
    <row r="423" ht="15.75" customHeight="1">
      <c r="F423" s="1"/>
    </row>
    <row r="424" ht="15.75" customHeight="1">
      <c r="F424" s="1"/>
    </row>
    <row r="425" ht="15.75" customHeight="1">
      <c r="F425" s="1"/>
    </row>
    <row r="426" ht="15.75" customHeight="1">
      <c r="F426" s="1"/>
    </row>
    <row r="427" ht="15.75" customHeight="1">
      <c r="F427" s="1"/>
    </row>
    <row r="428" ht="15.75" customHeight="1">
      <c r="F428" s="1"/>
    </row>
    <row r="429" ht="15.75" customHeight="1">
      <c r="F429" s="1"/>
    </row>
    <row r="430" ht="15.75" customHeight="1">
      <c r="F430" s="1"/>
    </row>
    <row r="431" ht="15.75" customHeight="1">
      <c r="F431" s="1"/>
    </row>
    <row r="432" ht="15.75" customHeight="1">
      <c r="F432" s="1"/>
    </row>
    <row r="433" ht="15.75" customHeight="1">
      <c r="F433" s="1"/>
    </row>
    <row r="434" ht="15.75" customHeight="1">
      <c r="F434" s="1"/>
    </row>
    <row r="435" ht="15.75" customHeight="1">
      <c r="F435" s="1"/>
    </row>
    <row r="436" ht="15.75" customHeight="1">
      <c r="F436" s="1"/>
    </row>
    <row r="437" ht="15.75" customHeight="1">
      <c r="F437" s="1"/>
    </row>
    <row r="438" ht="15.75" customHeight="1">
      <c r="F438" s="1"/>
    </row>
    <row r="439" ht="15.75" customHeight="1">
      <c r="F439" s="1"/>
    </row>
    <row r="440" ht="15.75" customHeight="1">
      <c r="F440" s="1"/>
    </row>
    <row r="441" ht="15.75" customHeight="1">
      <c r="F441" s="1"/>
    </row>
    <row r="442" ht="15.75" customHeight="1">
      <c r="F442" s="1"/>
    </row>
    <row r="443" ht="15.75" customHeight="1">
      <c r="F443" s="1"/>
    </row>
    <row r="444" ht="15.75" customHeight="1">
      <c r="F444" s="1"/>
    </row>
    <row r="445" ht="15.75" customHeight="1">
      <c r="F445" s="1"/>
    </row>
    <row r="446" ht="15.75" customHeight="1">
      <c r="F446" s="1"/>
    </row>
    <row r="447" ht="15.75" customHeight="1">
      <c r="F447" s="1"/>
    </row>
    <row r="448" ht="15.75" customHeight="1">
      <c r="F448" s="1"/>
    </row>
    <row r="449" ht="15.75" customHeight="1">
      <c r="F449" s="1"/>
    </row>
    <row r="450" ht="15.75" customHeight="1">
      <c r="F450" s="1"/>
    </row>
    <row r="451" ht="15.75" customHeight="1">
      <c r="F451" s="1"/>
    </row>
    <row r="452" ht="15.75" customHeight="1">
      <c r="F452" s="1"/>
    </row>
    <row r="453" ht="15.75" customHeight="1">
      <c r="F453" s="1"/>
    </row>
    <row r="454" ht="15.75" customHeight="1">
      <c r="F454" s="1"/>
    </row>
    <row r="455" ht="15.75" customHeight="1">
      <c r="F455" s="1"/>
    </row>
    <row r="456" ht="15.75" customHeight="1">
      <c r="F456" s="1"/>
    </row>
    <row r="457" ht="15.75" customHeight="1">
      <c r="F457" s="1"/>
    </row>
    <row r="458" ht="15.75" customHeight="1">
      <c r="F458" s="1"/>
    </row>
    <row r="459" ht="15.75" customHeight="1">
      <c r="F459" s="1"/>
    </row>
    <row r="460" ht="15.75" customHeight="1">
      <c r="F460" s="1"/>
    </row>
    <row r="461" ht="15.75" customHeight="1">
      <c r="F461" s="1"/>
    </row>
    <row r="462" ht="15.75" customHeight="1">
      <c r="F462" s="1"/>
    </row>
    <row r="463" ht="15.75" customHeight="1">
      <c r="F463" s="1"/>
    </row>
    <row r="464" ht="15.75" customHeight="1">
      <c r="F464" s="1"/>
    </row>
    <row r="465" ht="15.75" customHeight="1">
      <c r="F465" s="1"/>
    </row>
    <row r="466" ht="15.75" customHeight="1">
      <c r="F466" s="1"/>
    </row>
    <row r="467" ht="15.75" customHeight="1">
      <c r="F467" s="1"/>
    </row>
    <row r="468" ht="15.75" customHeight="1">
      <c r="F468" s="1"/>
    </row>
    <row r="469" ht="15.75" customHeight="1">
      <c r="F469" s="1"/>
    </row>
    <row r="470" ht="15.75" customHeight="1">
      <c r="F470" s="1"/>
    </row>
    <row r="471" ht="15.75" customHeight="1">
      <c r="F471" s="1"/>
    </row>
    <row r="472" ht="15.75" customHeight="1">
      <c r="F472" s="1"/>
    </row>
    <row r="473" ht="15.75" customHeight="1">
      <c r="F473" s="1"/>
    </row>
    <row r="474" ht="15.75" customHeight="1">
      <c r="F474" s="1"/>
    </row>
    <row r="475" ht="15.75" customHeight="1">
      <c r="F475" s="1"/>
    </row>
    <row r="476" ht="15.75" customHeight="1">
      <c r="F476" s="1"/>
    </row>
    <row r="477" ht="15.75" customHeight="1">
      <c r="F477" s="1"/>
    </row>
    <row r="478" ht="15.75" customHeight="1">
      <c r="F478" s="1"/>
    </row>
    <row r="479" ht="15.75" customHeight="1">
      <c r="F479" s="1"/>
    </row>
    <row r="480" ht="15.75" customHeight="1">
      <c r="F480" s="1"/>
    </row>
    <row r="481" ht="15.75" customHeight="1">
      <c r="F481" s="1"/>
    </row>
    <row r="482" ht="15.75" customHeight="1">
      <c r="F482" s="1"/>
    </row>
    <row r="483" ht="15.75" customHeight="1">
      <c r="F483" s="1"/>
    </row>
    <row r="484" ht="15.75" customHeight="1">
      <c r="F484" s="1"/>
    </row>
    <row r="485" ht="15.75" customHeight="1">
      <c r="F485" s="1"/>
    </row>
    <row r="486" ht="15.75" customHeight="1">
      <c r="F486" s="1"/>
    </row>
    <row r="487" ht="15.75" customHeight="1">
      <c r="F487" s="1"/>
    </row>
    <row r="488" ht="15.75" customHeight="1">
      <c r="F488" s="1"/>
    </row>
    <row r="489" ht="15.75" customHeight="1">
      <c r="F489" s="1"/>
    </row>
    <row r="490" ht="15.75" customHeight="1">
      <c r="F490" s="1"/>
    </row>
    <row r="491" ht="15.75" customHeight="1">
      <c r="F491" s="1"/>
    </row>
    <row r="492" ht="15.75" customHeight="1">
      <c r="F492" s="1"/>
    </row>
    <row r="493" ht="15.75" customHeight="1">
      <c r="F493" s="1"/>
    </row>
    <row r="494" ht="15.75" customHeight="1">
      <c r="F494" s="1"/>
    </row>
    <row r="495" ht="15.75" customHeight="1">
      <c r="F495" s="1"/>
    </row>
    <row r="496" ht="15.75" customHeight="1">
      <c r="F496" s="1"/>
    </row>
    <row r="497" ht="15.75" customHeight="1">
      <c r="F497" s="1"/>
    </row>
    <row r="498" ht="15.75" customHeight="1">
      <c r="F498" s="1"/>
    </row>
    <row r="499" ht="15.75" customHeight="1">
      <c r="F499" s="1"/>
    </row>
    <row r="500" ht="15.75" customHeight="1">
      <c r="F500" s="1"/>
    </row>
    <row r="501" ht="15.75" customHeight="1">
      <c r="F501" s="1"/>
    </row>
    <row r="502" ht="15.75" customHeight="1">
      <c r="F502" s="1"/>
    </row>
    <row r="503" ht="15.75" customHeight="1">
      <c r="F503" s="1"/>
    </row>
    <row r="504" ht="15.75" customHeight="1">
      <c r="F504" s="1"/>
    </row>
    <row r="505" ht="15.75" customHeight="1">
      <c r="F505" s="1"/>
    </row>
    <row r="506" ht="15.75" customHeight="1">
      <c r="F506" s="1"/>
    </row>
    <row r="507" ht="15.75" customHeight="1">
      <c r="F507" s="1"/>
    </row>
    <row r="508" ht="15.75" customHeight="1">
      <c r="F508" s="1"/>
    </row>
    <row r="509" ht="15.75" customHeight="1">
      <c r="F509" s="1"/>
    </row>
    <row r="510" ht="15.75" customHeight="1">
      <c r="F510" s="1"/>
    </row>
    <row r="511" ht="15.75" customHeight="1">
      <c r="F511" s="1"/>
    </row>
    <row r="512" ht="15.75" customHeight="1">
      <c r="F512" s="1"/>
    </row>
    <row r="513" ht="15.75" customHeight="1">
      <c r="F513" s="1"/>
    </row>
    <row r="514" ht="15.75" customHeight="1">
      <c r="F514" s="1"/>
    </row>
    <row r="515" ht="15.75" customHeight="1">
      <c r="F515" s="1"/>
    </row>
    <row r="516" ht="15.75" customHeight="1">
      <c r="F516" s="1"/>
    </row>
    <row r="517" ht="15.75" customHeight="1">
      <c r="F517" s="1"/>
    </row>
    <row r="518" ht="15.75" customHeight="1">
      <c r="F518" s="1"/>
    </row>
    <row r="519" ht="15.75" customHeight="1">
      <c r="F519" s="1"/>
    </row>
    <row r="520" ht="15.75" customHeight="1">
      <c r="F520" s="1"/>
    </row>
    <row r="521" ht="15.75" customHeight="1">
      <c r="F521" s="1"/>
    </row>
    <row r="522" ht="15.75" customHeight="1">
      <c r="F522" s="1"/>
    </row>
    <row r="523" ht="15.75" customHeight="1">
      <c r="F523" s="1"/>
    </row>
    <row r="524" ht="15.75" customHeight="1">
      <c r="F524" s="1"/>
    </row>
    <row r="525" ht="15.75" customHeight="1">
      <c r="F525" s="1"/>
    </row>
    <row r="526" ht="15.75" customHeight="1">
      <c r="F526" s="1"/>
    </row>
    <row r="527" ht="15.75" customHeight="1">
      <c r="F527" s="1"/>
    </row>
    <row r="528" ht="15.75" customHeight="1">
      <c r="F528" s="1"/>
    </row>
    <row r="529" ht="15.75" customHeight="1">
      <c r="F529" s="1"/>
    </row>
    <row r="530" ht="15.75" customHeight="1">
      <c r="F530" s="1"/>
    </row>
    <row r="531" ht="15.75" customHeight="1">
      <c r="F531" s="1"/>
    </row>
    <row r="532" ht="15.75" customHeight="1">
      <c r="F532" s="1"/>
    </row>
    <row r="533" ht="15.75" customHeight="1">
      <c r="F533" s="1"/>
    </row>
    <row r="534" ht="15.75" customHeight="1">
      <c r="F534" s="1"/>
    </row>
    <row r="535" ht="15.75" customHeight="1">
      <c r="F535" s="1"/>
    </row>
    <row r="536" ht="15.75" customHeight="1">
      <c r="F536" s="1"/>
    </row>
    <row r="537" ht="15.75" customHeight="1">
      <c r="F537" s="1"/>
    </row>
    <row r="538" ht="15.75" customHeight="1">
      <c r="F538" s="1"/>
    </row>
    <row r="539" ht="15.75" customHeight="1">
      <c r="F539" s="1"/>
    </row>
    <row r="540" ht="15.75" customHeight="1">
      <c r="F540" s="1"/>
    </row>
    <row r="541" ht="15.75" customHeight="1">
      <c r="F541" s="1"/>
    </row>
    <row r="542" ht="15.75" customHeight="1">
      <c r="F542" s="1"/>
    </row>
    <row r="543" ht="15.75" customHeight="1">
      <c r="F543" s="1"/>
    </row>
    <row r="544" ht="15.75" customHeight="1">
      <c r="F544" s="1"/>
    </row>
    <row r="545" ht="15.75" customHeight="1">
      <c r="F545" s="1"/>
    </row>
    <row r="546" ht="15.75" customHeight="1">
      <c r="F546" s="1"/>
    </row>
    <row r="547" ht="15.75" customHeight="1">
      <c r="F547" s="1"/>
    </row>
    <row r="548" ht="15.75" customHeight="1">
      <c r="F548" s="1"/>
    </row>
    <row r="549" ht="15.75" customHeight="1">
      <c r="F549" s="1"/>
    </row>
    <row r="550" ht="15.75" customHeight="1">
      <c r="F550" s="1"/>
    </row>
    <row r="551" ht="15.75" customHeight="1">
      <c r="F551" s="1"/>
    </row>
    <row r="552" ht="15.75" customHeight="1">
      <c r="F552" s="1"/>
    </row>
    <row r="553" ht="15.75" customHeight="1">
      <c r="F553" s="1"/>
    </row>
    <row r="554" ht="15.75" customHeight="1">
      <c r="F554" s="1"/>
    </row>
    <row r="555" ht="15.75" customHeight="1">
      <c r="F555" s="1"/>
    </row>
    <row r="556" ht="15.75" customHeight="1">
      <c r="F556" s="1"/>
    </row>
    <row r="557" ht="15.75" customHeight="1">
      <c r="F557" s="1"/>
    </row>
    <row r="558" ht="15.75" customHeight="1">
      <c r="F558" s="1"/>
    </row>
    <row r="559" ht="15.75" customHeight="1">
      <c r="F559" s="1"/>
    </row>
    <row r="560" ht="15.75" customHeight="1">
      <c r="F560" s="1"/>
    </row>
    <row r="561" ht="15.75" customHeight="1">
      <c r="F561" s="1"/>
    </row>
    <row r="562" ht="15.75" customHeight="1">
      <c r="F562" s="1"/>
    </row>
    <row r="563" ht="15.75" customHeight="1">
      <c r="F563" s="1"/>
    </row>
    <row r="564" ht="15.75" customHeight="1">
      <c r="F564" s="1"/>
    </row>
    <row r="565" ht="15.75" customHeight="1">
      <c r="F565" s="1"/>
    </row>
    <row r="566" ht="15.75" customHeight="1">
      <c r="F566" s="1"/>
    </row>
    <row r="567" ht="15.75" customHeight="1">
      <c r="F567" s="1"/>
    </row>
    <row r="568" ht="15.75" customHeight="1">
      <c r="F568" s="1"/>
    </row>
    <row r="569" ht="15.75" customHeight="1">
      <c r="F569" s="1"/>
    </row>
    <row r="570" ht="15.75" customHeight="1">
      <c r="F570" s="1"/>
    </row>
    <row r="571" ht="15.75" customHeight="1">
      <c r="F571" s="1"/>
    </row>
    <row r="572" ht="15.75" customHeight="1">
      <c r="F572" s="1"/>
    </row>
    <row r="573" ht="15.75" customHeight="1">
      <c r="F573" s="1"/>
    </row>
    <row r="574" ht="15.75" customHeight="1">
      <c r="F574" s="1"/>
    </row>
    <row r="575" ht="15.75" customHeight="1">
      <c r="F575" s="1"/>
    </row>
    <row r="576" ht="15.75" customHeight="1">
      <c r="F576" s="1"/>
    </row>
    <row r="577" ht="15.75" customHeight="1">
      <c r="F577" s="1"/>
    </row>
    <row r="578" ht="15.75" customHeight="1">
      <c r="F578" s="1"/>
    </row>
    <row r="579" ht="15.75" customHeight="1">
      <c r="F579" s="1"/>
    </row>
    <row r="580" ht="15.75" customHeight="1">
      <c r="F580" s="1"/>
    </row>
    <row r="581" ht="15.75" customHeight="1">
      <c r="F581" s="1"/>
    </row>
    <row r="582" ht="15.75" customHeight="1">
      <c r="F582" s="1"/>
    </row>
    <row r="583" ht="15.75" customHeight="1">
      <c r="F583" s="1"/>
    </row>
    <row r="584" ht="15.75" customHeight="1">
      <c r="F584" s="1"/>
    </row>
    <row r="585" ht="15.75" customHeight="1">
      <c r="F585" s="1"/>
    </row>
    <row r="586" ht="15.75" customHeight="1">
      <c r="F586" s="1"/>
    </row>
    <row r="587" ht="15.75" customHeight="1">
      <c r="F587" s="1"/>
    </row>
    <row r="588" ht="15.75" customHeight="1">
      <c r="F588" s="1"/>
    </row>
    <row r="589" ht="15.75" customHeight="1">
      <c r="F589" s="1"/>
    </row>
    <row r="590" ht="15.75" customHeight="1">
      <c r="F590" s="1"/>
    </row>
    <row r="591" ht="15.75" customHeight="1">
      <c r="F591" s="1"/>
    </row>
    <row r="592" ht="15.75" customHeight="1">
      <c r="F592" s="1"/>
    </row>
    <row r="593" ht="15.75" customHeight="1">
      <c r="F593" s="1"/>
    </row>
    <row r="594" ht="15.75" customHeight="1">
      <c r="F594" s="1"/>
    </row>
    <row r="595" ht="15.75" customHeight="1">
      <c r="F595" s="1"/>
    </row>
    <row r="596" ht="15.75" customHeight="1">
      <c r="F596" s="1"/>
    </row>
    <row r="597" ht="15.75" customHeight="1">
      <c r="F597" s="1"/>
    </row>
    <row r="598" ht="15.75" customHeight="1">
      <c r="F598" s="1"/>
    </row>
    <row r="599" ht="15.75" customHeight="1">
      <c r="F599" s="1"/>
    </row>
    <row r="600" ht="15.75" customHeight="1">
      <c r="F600" s="1"/>
    </row>
    <row r="601" ht="15.75" customHeight="1">
      <c r="F601" s="1"/>
    </row>
    <row r="602" ht="15.75" customHeight="1">
      <c r="F602" s="1"/>
    </row>
    <row r="603" ht="15.75" customHeight="1">
      <c r="F603" s="1"/>
    </row>
    <row r="604" ht="15.75" customHeight="1">
      <c r="F604" s="1"/>
    </row>
    <row r="605" ht="15.75" customHeight="1">
      <c r="F605" s="1"/>
    </row>
    <row r="606" ht="15.75" customHeight="1">
      <c r="F606" s="1"/>
    </row>
    <row r="607" ht="15.75" customHeight="1">
      <c r="F607" s="1"/>
    </row>
    <row r="608" ht="15.75" customHeight="1">
      <c r="F608" s="1"/>
    </row>
    <row r="609" ht="15.75" customHeight="1">
      <c r="F609" s="1"/>
    </row>
    <row r="610" ht="15.75" customHeight="1">
      <c r="F610" s="1"/>
    </row>
    <row r="611" ht="15.75" customHeight="1">
      <c r="F611" s="1"/>
    </row>
    <row r="612" ht="15.75" customHeight="1">
      <c r="F612" s="1"/>
    </row>
    <row r="613" ht="15.75" customHeight="1">
      <c r="F613" s="1"/>
    </row>
    <row r="614" ht="15.75" customHeight="1">
      <c r="F614" s="1"/>
    </row>
    <row r="615" ht="15.75" customHeight="1">
      <c r="F615" s="1"/>
    </row>
    <row r="616" ht="15.75" customHeight="1">
      <c r="F616" s="1"/>
    </row>
    <row r="617" ht="15.75" customHeight="1">
      <c r="F617" s="1"/>
    </row>
    <row r="618" ht="15.75" customHeight="1">
      <c r="F618" s="1"/>
    </row>
    <row r="619" ht="15.75" customHeight="1">
      <c r="F619" s="1"/>
    </row>
    <row r="620" ht="15.75" customHeight="1">
      <c r="F620" s="1"/>
    </row>
    <row r="621" ht="15.75" customHeight="1">
      <c r="F621" s="1"/>
    </row>
    <row r="622" ht="15.75" customHeight="1">
      <c r="F622" s="1"/>
    </row>
    <row r="623" ht="15.75" customHeight="1">
      <c r="F623" s="1"/>
    </row>
    <row r="624" ht="15.75" customHeight="1">
      <c r="F624" s="1"/>
    </row>
    <row r="625" ht="15.75" customHeight="1">
      <c r="F625" s="1"/>
    </row>
    <row r="626" ht="15.75" customHeight="1">
      <c r="F626" s="1"/>
    </row>
    <row r="627" ht="15.75" customHeight="1">
      <c r="F627" s="1"/>
    </row>
    <row r="628" ht="15.75" customHeight="1">
      <c r="F628" s="1"/>
    </row>
    <row r="629" ht="15.75" customHeight="1">
      <c r="F629" s="1"/>
    </row>
    <row r="630" ht="15.75" customHeight="1">
      <c r="F630" s="1"/>
    </row>
    <row r="631" ht="15.75" customHeight="1">
      <c r="F631" s="1"/>
    </row>
    <row r="632" ht="15.75" customHeight="1">
      <c r="F632" s="1"/>
    </row>
    <row r="633" ht="15.75" customHeight="1">
      <c r="F633" s="1"/>
    </row>
    <row r="634" ht="15.75" customHeight="1">
      <c r="F634" s="1"/>
    </row>
    <row r="635" ht="15.75" customHeight="1">
      <c r="F635" s="1"/>
    </row>
    <row r="636" ht="15.75" customHeight="1">
      <c r="F636" s="1"/>
    </row>
    <row r="637" ht="15.75" customHeight="1">
      <c r="F637" s="1"/>
    </row>
    <row r="638" ht="15.75" customHeight="1">
      <c r="F638" s="1"/>
    </row>
    <row r="639" ht="15.75" customHeight="1">
      <c r="F639" s="1"/>
    </row>
    <row r="640" ht="15.75" customHeight="1">
      <c r="F640" s="1"/>
    </row>
    <row r="641" ht="15.75" customHeight="1">
      <c r="F641" s="1"/>
    </row>
    <row r="642" ht="15.75" customHeight="1">
      <c r="F642" s="1"/>
    </row>
    <row r="643" ht="15.75" customHeight="1">
      <c r="F643" s="1"/>
    </row>
    <row r="644" ht="15.75" customHeight="1">
      <c r="F644" s="1"/>
    </row>
    <row r="645" ht="15.75" customHeight="1">
      <c r="F645" s="1"/>
    </row>
    <row r="646" ht="15.75" customHeight="1">
      <c r="F646" s="1"/>
    </row>
    <row r="647" ht="15.75" customHeight="1">
      <c r="F647" s="1"/>
    </row>
    <row r="648" ht="15.75" customHeight="1">
      <c r="F648" s="1"/>
    </row>
    <row r="649" ht="15.75" customHeight="1">
      <c r="F649" s="1"/>
    </row>
    <row r="650" ht="15.75" customHeight="1">
      <c r="F650" s="1"/>
    </row>
    <row r="651" ht="15.75" customHeight="1">
      <c r="F651" s="1"/>
    </row>
    <row r="652" ht="15.75" customHeight="1">
      <c r="F652" s="1"/>
    </row>
    <row r="653" ht="15.75" customHeight="1">
      <c r="F653" s="1"/>
    </row>
    <row r="654" ht="15.75" customHeight="1">
      <c r="F654" s="1"/>
    </row>
    <row r="655" ht="15.75" customHeight="1">
      <c r="F655" s="1"/>
    </row>
    <row r="656" ht="15.75" customHeight="1">
      <c r="F656" s="1"/>
    </row>
    <row r="657" ht="15.75" customHeight="1">
      <c r="F657" s="1"/>
    </row>
    <row r="658" ht="15.75" customHeight="1">
      <c r="F658" s="1"/>
    </row>
    <row r="659" ht="15.75" customHeight="1">
      <c r="F659" s="1"/>
    </row>
    <row r="660" ht="15.75" customHeight="1">
      <c r="F660" s="1"/>
    </row>
    <row r="661" ht="15.75" customHeight="1">
      <c r="F661" s="1"/>
    </row>
    <row r="662" ht="15.75" customHeight="1">
      <c r="F662" s="1"/>
    </row>
    <row r="663" ht="15.75" customHeight="1">
      <c r="F663" s="1"/>
    </row>
    <row r="664" ht="15.75" customHeight="1">
      <c r="F664" s="1"/>
    </row>
    <row r="665" ht="15.75" customHeight="1">
      <c r="F665" s="1"/>
    </row>
    <row r="666" ht="15.75" customHeight="1">
      <c r="F666" s="1"/>
    </row>
    <row r="667" ht="15.75" customHeight="1">
      <c r="F667" s="1"/>
    </row>
    <row r="668" ht="15.75" customHeight="1">
      <c r="F668" s="1"/>
    </row>
    <row r="669" ht="15.75" customHeight="1">
      <c r="F669" s="1"/>
    </row>
    <row r="670" ht="15.75" customHeight="1">
      <c r="F670" s="1"/>
    </row>
    <row r="671" ht="15.75" customHeight="1">
      <c r="F671" s="1"/>
    </row>
    <row r="672" ht="15.75" customHeight="1">
      <c r="F672" s="1"/>
    </row>
    <row r="673" ht="15.75" customHeight="1">
      <c r="F673" s="1"/>
    </row>
    <row r="674" ht="15.75" customHeight="1">
      <c r="F674" s="1"/>
    </row>
    <row r="675" ht="15.75" customHeight="1">
      <c r="F675" s="1"/>
    </row>
    <row r="676" ht="15.75" customHeight="1">
      <c r="F676" s="1"/>
    </row>
    <row r="677" ht="15.75" customHeight="1">
      <c r="F677" s="1"/>
    </row>
    <row r="678" ht="15.75" customHeight="1">
      <c r="F678" s="1"/>
    </row>
    <row r="679" ht="15.75" customHeight="1">
      <c r="F679" s="1"/>
    </row>
    <row r="680" ht="15.75" customHeight="1">
      <c r="F680" s="1"/>
    </row>
    <row r="681" ht="15.75" customHeight="1">
      <c r="F681" s="1"/>
    </row>
    <row r="682" ht="15.75" customHeight="1">
      <c r="F682" s="1"/>
    </row>
    <row r="683" ht="15.75" customHeight="1">
      <c r="F683" s="1"/>
    </row>
    <row r="684" ht="15.75" customHeight="1">
      <c r="F684" s="1"/>
    </row>
    <row r="685" ht="15.75" customHeight="1">
      <c r="F685" s="1"/>
    </row>
    <row r="686" ht="15.75" customHeight="1">
      <c r="F686" s="1"/>
    </row>
    <row r="687" ht="15.75" customHeight="1">
      <c r="F687" s="1"/>
    </row>
    <row r="688" ht="15.75" customHeight="1">
      <c r="F688" s="1"/>
    </row>
    <row r="689" ht="15.75" customHeight="1">
      <c r="F689" s="1"/>
    </row>
    <row r="690" ht="15.75" customHeight="1">
      <c r="F690" s="1"/>
    </row>
    <row r="691" ht="15.75" customHeight="1">
      <c r="F691" s="1"/>
    </row>
    <row r="692" ht="15.75" customHeight="1">
      <c r="F692" s="1"/>
    </row>
    <row r="693" ht="15.75" customHeight="1">
      <c r="F693" s="1"/>
    </row>
    <row r="694" ht="15.75" customHeight="1">
      <c r="F694" s="1"/>
    </row>
    <row r="695" ht="15.75" customHeight="1">
      <c r="F695" s="1"/>
    </row>
    <row r="696" ht="15.75" customHeight="1">
      <c r="F696" s="1"/>
    </row>
    <row r="697" ht="15.75" customHeight="1">
      <c r="F697" s="1"/>
    </row>
    <row r="698" ht="15.75" customHeight="1">
      <c r="F698" s="1"/>
    </row>
    <row r="699" ht="15.75" customHeight="1">
      <c r="F699" s="1"/>
    </row>
    <row r="700" ht="15.75" customHeight="1">
      <c r="F700" s="1"/>
    </row>
    <row r="701" ht="15.75" customHeight="1">
      <c r="F701" s="1"/>
    </row>
    <row r="702" ht="15.75" customHeight="1">
      <c r="F702" s="1"/>
    </row>
    <row r="703" ht="15.75" customHeight="1">
      <c r="F703" s="1"/>
    </row>
    <row r="704" ht="15.75" customHeight="1">
      <c r="F704" s="1"/>
    </row>
    <row r="705" ht="15.75" customHeight="1">
      <c r="F705" s="1"/>
    </row>
    <row r="706" ht="15.75" customHeight="1">
      <c r="F706" s="1"/>
    </row>
    <row r="707" ht="15.75" customHeight="1">
      <c r="F707" s="1"/>
    </row>
    <row r="708" ht="15.75" customHeight="1">
      <c r="F708" s="1"/>
    </row>
    <row r="709" ht="15.75" customHeight="1">
      <c r="F709" s="1"/>
    </row>
    <row r="710" ht="15.75" customHeight="1">
      <c r="F710" s="1"/>
    </row>
    <row r="711" ht="15.75" customHeight="1">
      <c r="F711" s="1"/>
    </row>
    <row r="712" ht="15.75" customHeight="1">
      <c r="F712" s="1"/>
    </row>
    <row r="713" ht="15.75" customHeight="1">
      <c r="F713" s="1"/>
    </row>
    <row r="714" ht="15.75" customHeight="1">
      <c r="F714" s="1"/>
    </row>
    <row r="715" ht="15.75" customHeight="1">
      <c r="F715" s="1"/>
    </row>
    <row r="716" ht="15.75" customHeight="1">
      <c r="F716" s="1"/>
    </row>
    <row r="717" ht="15.75" customHeight="1">
      <c r="F717" s="1"/>
    </row>
    <row r="718" ht="15.75" customHeight="1">
      <c r="F718" s="1"/>
    </row>
    <row r="719" ht="15.75" customHeight="1">
      <c r="F719" s="1"/>
    </row>
    <row r="720" ht="15.75" customHeight="1">
      <c r="F720" s="1"/>
    </row>
    <row r="721" ht="15.75" customHeight="1">
      <c r="F721" s="1"/>
    </row>
    <row r="722" ht="15.75" customHeight="1">
      <c r="F722" s="1"/>
    </row>
    <row r="723" ht="15.75" customHeight="1">
      <c r="F723" s="1"/>
    </row>
    <row r="724" ht="15.75" customHeight="1">
      <c r="F724" s="1"/>
    </row>
    <row r="725" ht="15.75" customHeight="1">
      <c r="F725" s="1"/>
    </row>
    <row r="726" ht="15.75" customHeight="1">
      <c r="F726" s="1"/>
    </row>
    <row r="727" ht="15.75" customHeight="1">
      <c r="F727" s="1"/>
    </row>
    <row r="728" ht="15.75" customHeight="1">
      <c r="F728" s="1"/>
    </row>
    <row r="729" ht="15.75" customHeight="1">
      <c r="F729" s="1"/>
    </row>
    <row r="730" ht="15.75" customHeight="1">
      <c r="F730" s="1"/>
    </row>
    <row r="731" ht="15.75" customHeight="1">
      <c r="F731" s="1"/>
    </row>
    <row r="732" ht="15.75" customHeight="1">
      <c r="F732" s="1"/>
    </row>
    <row r="733" ht="15.75" customHeight="1">
      <c r="F733" s="1"/>
    </row>
    <row r="734" ht="15.75" customHeight="1">
      <c r="F734" s="1"/>
    </row>
    <row r="735" ht="15.75" customHeight="1">
      <c r="F735" s="1"/>
    </row>
    <row r="736" ht="15.75" customHeight="1">
      <c r="F736" s="1"/>
    </row>
    <row r="737" ht="15.75" customHeight="1">
      <c r="F737" s="1"/>
    </row>
    <row r="738" ht="15.75" customHeight="1">
      <c r="F738" s="1"/>
    </row>
    <row r="739" ht="15.75" customHeight="1">
      <c r="F739" s="1"/>
    </row>
    <row r="740" ht="15.75" customHeight="1">
      <c r="F740" s="1"/>
    </row>
    <row r="741" ht="15.75" customHeight="1">
      <c r="F741" s="1"/>
    </row>
    <row r="742" ht="15.75" customHeight="1">
      <c r="F742" s="1"/>
    </row>
    <row r="743" ht="15.75" customHeight="1">
      <c r="F743" s="1"/>
    </row>
    <row r="744" ht="15.75" customHeight="1">
      <c r="F744" s="1"/>
    </row>
    <row r="745" ht="15.75" customHeight="1">
      <c r="F745" s="1"/>
    </row>
    <row r="746" ht="15.75" customHeight="1">
      <c r="F746" s="1"/>
    </row>
    <row r="747" ht="15.75" customHeight="1">
      <c r="F747" s="1"/>
    </row>
    <row r="748" ht="15.75" customHeight="1">
      <c r="F748" s="1"/>
    </row>
    <row r="749" ht="15.75" customHeight="1">
      <c r="F749" s="1"/>
    </row>
    <row r="750" ht="15.75" customHeight="1">
      <c r="F750" s="1"/>
    </row>
    <row r="751" ht="15.75" customHeight="1">
      <c r="F751" s="1"/>
    </row>
    <row r="752" ht="15.75" customHeight="1">
      <c r="F752" s="1"/>
    </row>
    <row r="753" ht="15.75" customHeight="1">
      <c r="F753" s="1"/>
    </row>
    <row r="754" ht="15.75" customHeight="1">
      <c r="F754" s="1"/>
    </row>
    <row r="755" ht="15.75" customHeight="1">
      <c r="F755" s="1"/>
    </row>
    <row r="756" ht="15.75" customHeight="1">
      <c r="F756" s="1"/>
    </row>
    <row r="757" ht="15.75" customHeight="1">
      <c r="F757" s="1"/>
    </row>
    <row r="758" ht="15.75" customHeight="1">
      <c r="F758" s="1"/>
    </row>
    <row r="759" ht="15.75" customHeight="1">
      <c r="F759" s="1"/>
    </row>
    <row r="760" ht="15.75" customHeight="1">
      <c r="F760" s="1"/>
    </row>
    <row r="761" ht="15.75" customHeight="1">
      <c r="F761" s="1"/>
    </row>
    <row r="762" ht="15.75" customHeight="1">
      <c r="F762" s="1"/>
    </row>
    <row r="763" ht="15.75" customHeight="1">
      <c r="F763" s="1"/>
    </row>
    <row r="764" ht="15.75" customHeight="1">
      <c r="F764" s="1"/>
    </row>
    <row r="765" ht="15.75" customHeight="1">
      <c r="F765" s="1"/>
    </row>
    <row r="766" ht="15.75" customHeight="1">
      <c r="F766" s="1"/>
    </row>
    <row r="767" ht="15.75" customHeight="1">
      <c r="F767" s="1"/>
    </row>
    <row r="768" ht="15.75" customHeight="1">
      <c r="F768" s="1"/>
    </row>
    <row r="769" ht="15.75" customHeight="1">
      <c r="F769" s="1"/>
    </row>
    <row r="770" ht="15.75" customHeight="1">
      <c r="F770" s="1"/>
    </row>
    <row r="771" ht="15.75" customHeight="1">
      <c r="F771" s="1"/>
    </row>
    <row r="772" ht="15.75" customHeight="1">
      <c r="F772" s="1"/>
    </row>
    <row r="773" ht="15.75" customHeight="1">
      <c r="F773" s="1"/>
    </row>
    <row r="774" ht="15.75" customHeight="1">
      <c r="F774" s="1"/>
    </row>
    <row r="775" ht="15.75" customHeight="1">
      <c r="F775" s="1"/>
    </row>
    <row r="776" ht="15.75" customHeight="1">
      <c r="F776" s="1"/>
    </row>
    <row r="777" ht="15.75" customHeight="1">
      <c r="F777" s="1"/>
    </row>
    <row r="778" ht="15.75" customHeight="1">
      <c r="F778" s="1"/>
    </row>
    <row r="779" ht="15.75" customHeight="1">
      <c r="F779" s="1"/>
    </row>
    <row r="780" ht="15.75" customHeight="1">
      <c r="F780" s="1"/>
    </row>
    <row r="781" ht="15.75" customHeight="1">
      <c r="F781" s="1"/>
    </row>
    <row r="782" ht="15.75" customHeight="1">
      <c r="F782" s="1"/>
    </row>
    <row r="783" ht="15.75" customHeight="1">
      <c r="F783" s="1"/>
    </row>
    <row r="784" ht="15.75" customHeight="1">
      <c r="F784" s="1"/>
    </row>
    <row r="785" ht="15.75" customHeight="1">
      <c r="F785" s="1"/>
    </row>
    <row r="786" ht="15.75" customHeight="1">
      <c r="F786" s="1"/>
    </row>
    <row r="787" ht="15.75" customHeight="1">
      <c r="F787" s="1"/>
    </row>
    <row r="788" ht="15.75" customHeight="1">
      <c r="F788" s="1"/>
    </row>
    <row r="789" ht="15.75" customHeight="1">
      <c r="F789" s="1"/>
    </row>
    <row r="790" ht="15.75" customHeight="1">
      <c r="F790" s="1"/>
    </row>
    <row r="791" ht="15.75" customHeight="1">
      <c r="F791" s="1"/>
    </row>
    <row r="792" ht="15.75" customHeight="1">
      <c r="F792" s="1"/>
    </row>
    <row r="793" ht="15.75" customHeight="1">
      <c r="F793" s="1"/>
    </row>
    <row r="794" ht="15.75" customHeight="1">
      <c r="F794" s="1"/>
    </row>
    <row r="795" ht="15.75" customHeight="1">
      <c r="F795" s="1"/>
    </row>
    <row r="796" ht="15.75" customHeight="1">
      <c r="F796" s="1"/>
    </row>
    <row r="797" ht="15.75" customHeight="1">
      <c r="F797" s="1"/>
    </row>
    <row r="798" ht="15.75" customHeight="1">
      <c r="F798" s="1"/>
    </row>
    <row r="799" ht="15.75" customHeight="1">
      <c r="F799" s="1"/>
    </row>
    <row r="800" ht="15.75" customHeight="1">
      <c r="F800" s="1"/>
    </row>
    <row r="801" ht="15.75" customHeight="1">
      <c r="F801" s="1"/>
    </row>
    <row r="802" ht="15.75" customHeight="1">
      <c r="F802" s="1"/>
    </row>
    <row r="803" ht="15.75" customHeight="1">
      <c r="F803" s="1"/>
    </row>
    <row r="804" ht="15.75" customHeight="1">
      <c r="F804" s="1"/>
    </row>
    <row r="805" ht="15.75" customHeight="1">
      <c r="F805" s="1"/>
    </row>
    <row r="806" ht="15.75" customHeight="1">
      <c r="F806" s="1"/>
    </row>
    <row r="807" ht="15.75" customHeight="1">
      <c r="F807" s="1"/>
    </row>
    <row r="808" ht="15.75" customHeight="1">
      <c r="F808" s="1"/>
    </row>
    <row r="809" ht="15.75" customHeight="1">
      <c r="F809" s="1"/>
    </row>
    <row r="810" ht="15.75" customHeight="1">
      <c r="F810" s="1"/>
    </row>
    <row r="811" ht="15.75" customHeight="1">
      <c r="F811" s="1"/>
    </row>
    <row r="812" ht="15.75" customHeight="1">
      <c r="F812" s="1"/>
    </row>
    <row r="813" ht="15.75" customHeight="1">
      <c r="F813" s="1"/>
    </row>
    <row r="814" ht="15.75" customHeight="1">
      <c r="F814" s="1"/>
    </row>
    <row r="815" ht="15.75" customHeight="1">
      <c r="F815" s="1"/>
    </row>
    <row r="816" ht="15.75" customHeight="1">
      <c r="F816" s="1"/>
    </row>
    <row r="817" ht="15.75" customHeight="1">
      <c r="F817" s="1"/>
    </row>
    <row r="818" ht="15.75" customHeight="1">
      <c r="F818" s="1"/>
    </row>
    <row r="819" ht="15.75" customHeight="1">
      <c r="F819" s="1"/>
    </row>
    <row r="820" ht="15.75" customHeight="1">
      <c r="F820" s="1"/>
    </row>
    <row r="821" ht="15.75" customHeight="1">
      <c r="F821" s="1"/>
    </row>
    <row r="822" ht="15.75" customHeight="1">
      <c r="F822" s="1"/>
    </row>
    <row r="823" ht="15.75" customHeight="1">
      <c r="F823" s="1"/>
    </row>
    <row r="824" ht="15.75" customHeight="1">
      <c r="F824" s="1"/>
    </row>
    <row r="825" ht="15.75" customHeight="1">
      <c r="F825" s="1"/>
    </row>
    <row r="826" ht="15.75" customHeight="1">
      <c r="F826" s="1"/>
    </row>
    <row r="827" ht="15.75" customHeight="1">
      <c r="F827" s="1"/>
    </row>
    <row r="828" ht="15.75" customHeight="1">
      <c r="F828" s="1"/>
    </row>
    <row r="829" ht="15.75" customHeight="1">
      <c r="F829" s="1"/>
    </row>
    <row r="830" ht="15.75" customHeight="1">
      <c r="F830" s="1"/>
    </row>
    <row r="831" ht="15.75" customHeight="1">
      <c r="F831" s="1"/>
    </row>
    <row r="832" ht="15.75" customHeight="1">
      <c r="F832" s="1"/>
    </row>
    <row r="833" ht="15.75" customHeight="1">
      <c r="F833" s="1"/>
    </row>
    <row r="834" ht="15.75" customHeight="1">
      <c r="F834" s="1"/>
    </row>
    <row r="835" ht="15.75" customHeight="1">
      <c r="F835" s="1"/>
    </row>
    <row r="836" ht="15.75" customHeight="1">
      <c r="F836" s="1"/>
    </row>
    <row r="837" ht="15.75" customHeight="1">
      <c r="F837" s="1"/>
    </row>
    <row r="838" ht="15.75" customHeight="1">
      <c r="F838" s="1"/>
    </row>
    <row r="839" ht="15.75" customHeight="1">
      <c r="F839" s="1"/>
    </row>
    <row r="840" ht="15.75" customHeight="1">
      <c r="F840" s="1"/>
    </row>
    <row r="841" ht="15.75" customHeight="1">
      <c r="F841" s="1"/>
    </row>
    <row r="842" ht="15.75" customHeight="1">
      <c r="F842" s="1"/>
    </row>
    <row r="843" ht="15.75" customHeight="1">
      <c r="F843" s="1"/>
    </row>
    <row r="844" ht="15.75" customHeight="1">
      <c r="F844" s="1"/>
    </row>
    <row r="845" ht="15.75" customHeight="1">
      <c r="F845" s="1"/>
    </row>
    <row r="846" ht="15.75" customHeight="1">
      <c r="F846" s="1"/>
    </row>
    <row r="847" ht="15.75" customHeight="1">
      <c r="F847" s="1"/>
    </row>
    <row r="848" ht="15.75" customHeight="1">
      <c r="F848" s="1"/>
    </row>
    <row r="849" ht="15.75" customHeight="1">
      <c r="F849" s="1"/>
    </row>
    <row r="850" ht="15.75" customHeight="1">
      <c r="F850" s="1"/>
    </row>
    <row r="851" ht="15.75" customHeight="1">
      <c r="F851" s="1"/>
    </row>
    <row r="852" ht="15.75" customHeight="1">
      <c r="F852" s="1"/>
    </row>
    <row r="853" ht="15.75" customHeight="1">
      <c r="F853" s="1"/>
    </row>
    <row r="854" ht="15.75" customHeight="1">
      <c r="F854" s="1"/>
    </row>
    <row r="855" ht="15.75" customHeight="1">
      <c r="F855" s="1"/>
    </row>
    <row r="856" ht="15.75" customHeight="1">
      <c r="F856" s="1"/>
    </row>
    <row r="857" ht="15.75" customHeight="1">
      <c r="F857" s="1"/>
    </row>
    <row r="858" ht="15.75" customHeight="1">
      <c r="F858" s="1"/>
    </row>
    <row r="859" ht="15.75" customHeight="1">
      <c r="F859" s="1"/>
    </row>
    <row r="860" ht="15.75" customHeight="1">
      <c r="F860" s="1"/>
    </row>
    <row r="861" ht="15.75" customHeight="1">
      <c r="F861" s="1"/>
    </row>
    <row r="862" ht="15.75" customHeight="1">
      <c r="F862" s="1"/>
    </row>
    <row r="863" ht="15.75" customHeight="1">
      <c r="F863" s="1"/>
    </row>
    <row r="864" ht="15.75" customHeight="1">
      <c r="F864" s="1"/>
    </row>
    <row r="865" ht="15.75" customHeight="1">
      <c r="F865" s="1"/>
    </row>
    <row r="866" ht="15.75" customHeight="1">
      <c r="F866" s="1"/>
    </row>
    <row r="867" ht="15.75" customHeight="1">
      <c r="F867" s="1"/>
    </row>
    <row r="868" ht="15.75" customHeight="1">
      <c r="F868" s="1"/>
    </row>
    <row r="869" ht="15.75" customHeight="1">
      <c r="F869" s="1"/>
    </row>
    <row r="870" ht="15.75" customHeight="1">
      <c r="F870" s="1"/>
    </row>
    <row r="871" ht="15.75" customHeight="1">
      <c r="F871" s="1"/>
    </row>
    <row r="872" ht="15.75" customHeight="1">
      <c r="F872" s="1"/>
    </row>
    <row r="873" ht="15.75" customHeight="1">
      <c r="F873" s="1"/>
    </row>
    <row r="874" ht="15.75" customHeight="1">
      <c r="F874" s="1"/>
    </row>
    <row r="875" ht="15.75" customHeight="1">
      <c r="F875" s="1"/>
    </row>
    <row r="876" ht="15.75" customHeight="1">
      <c r="F876" s="1"/>
    </row>
    <row r="877" ht="15.75" customHeight="1">
      <c r="F877" s="1"/>
    </row>
    <row r="878" ht="15.75" customHeight="1">
      <c r="F878" s="1"/>
    </row>
    <row r="879" ht="15.75" customHeight="1">
      <c r="F879" s="1"/>
    </row>
    <row r="880" ht="15.75" customHeight="1">
      <c r="F880" s="1"/>
    </row>
    <row r="881" ht="15.75" customHeight="1">
      <c r="F881" s="1"/>
    </row>
    <row r="882" ht="15.75" customHeight="1">
      <c r="F882" s="1"/>
    </row>
    <row r="883" ht="15.75" customHeight="1">
      <c r="F883" s="1"/>
    </row>
    <row r="884" ht="15.75" customHeight="1">
      <c r="F884" s="1"/>
    </row>
    <row r="885" ht="15.75" customHeight="1">
      <c r="F885" s="1"/>
    </row>
    <row r="886" ht="15.75" customHeight="1">
      <c r="F886" s="1"/>
    </row>
    <row r="887" ht="15.75" customHeight="1">
      <c r="F887" s="1"/>
    </row>
    <row r="888" ht="15.75" customHeight="1">
      <c r="F888" s="1"/>
    </row>
    <row r="889" ht="15.75" customHeight="1">
      <c r="F889" s="1"/>
    </row>
    <row r="890" ht="15.75" customHeight="1">
      <c r="F890" s="1"/>
    </row>
    <row r="891" ht="15.75" customHeight="1">
      <c r="F891" s="1"/>
    </row>
    <row r="892" ht="15.75" customHeight="1">
      <c r="F892" s="1"/>
    </row>
    <row r="893" ht="15.75" customHeight="1">
      <c r="F893" s="1"/>
    </row>
    <row r="894" ht="15.75" customHeight="1">
      <c r="F894" s="1"/>
    </row>
    <row r="895" ht="15.75" customHeight="1">
      <c r="F895" s="1"/>
    </row>
    <row r="896" ht="15.75" customHeight="1">
      <c r="F896" s="1"/>
    </row>
    <row r="897" ht="15.75" customHeight="1">
      <c r="F897" s="1"/>
    </row>
    <row r="898" ht="15.75" customHeight="1">
      <c r="F898" s="1"/>
    </row>
    <row r="899" ht="15.75" customHeight="1">
      <c r="F899" s="1"/>
    </row>
    <row r="900" ht="15.75" customHeight="1">
      <c r="F900" s="1"/>
    </row>
    <row r="901" ht="15.75" customHeight="1">
      <c r="F901" s="1"/>
    </row>
    <row r="902" ht="15.75" customHeight="1">
      <c r="F902" s="1"/>
    </row>
    <row r="903" ht="15.75" customHeight="1">
      <c r="F903" s="1"/>
    </row>
    <row r="904" ht="15.75" customHeight="1">
      <c r="F904" s="1"/>
    </row>
    <row r="905" ht="15.75" customHeight="1">
      <c r="F905" s="1"/>
    </row>
    <row r="906" ht="15.75" customHeight="1">
      <c r="F906" s="1"/>
    </row>
    <row r="907" ht="15.75" customHeight="1">
      <c r="F907" s="1"/>
    </row>
    <row r="908" ht="15.75" customHeight="1">
      <c r="F908" s="1"/>
    </row>
    <row r="909" ht="15.75" customHeight="1">
      <c r="F909" s="1"/>
    </row>
    <row r="910" ht="15.75" customHeight="1">
      <c r="F910" s="1"/>
    </row>
    <row r="911" ht="15.75" customHeight="1">
      <c r="F911" s="1"/>
    </row>
    <row r="912" ht="15.75" customHeight="1">
      <c r="F912" s="1"/>
    </row>
    <row r="913" ht="15.75" customHeight="1">
      <c r="F913" s="1"/>
    </row>
    <row r="914" ht="15.75" customHeight="1">
      <c r="F914" s="1"/>
    </row>
    <row r="915" ht="15.75" customHeight="1">
      <c r="F915" s="1"/>
    </row>
    <row r="916" ht="15.75" customHeight="1">
      <c r="F916" s="1"/>
    </row>
    <row r="917" ht="15.75" customHeight="1">
      <c r="F917" s="1"/>
    </row>
    <row r="918" ht="15.75" customHeight="1">
      <c r="F918" s="1"/>
    </row>
    <row r="919" ht="15.75" customHeight="1">
      <c r="F919" s="1"/>
    </row>
    <row r="920" ht="15.75" customHeight="1">
      <c r="F920" s="1"/>
    </row>
    <row r="921" ht="15.75" customHeight="1">
      <c r="F921" s="1"/>
    </row>
    <row r="922" ht="15.75" customHeight="1">
      <c r="F922" s="1"/>
    </row>
    <row r="923" ht="15.75" customHeight="1">
      <c r="F923" s="1"/>
    </row>
    <row r="924" ht="15.75" customHeight="1">
      <c r="F924" s="1"/>
    </row>
    <row r="925" ht="15.75" customHeight="1">
      <c r="F925" s="1"/>
    </row>
    <row r="926" ht="15.75" customHeight="1">
      <c r="F926" s="1"/>
    </row>
    <row r="927" ht="15.75" customHeight="1">
      <c r="F927" s="1"/>
    </row>
    <row r="928" ht="15.75" customHeight="1">
      <c r="F928" s="1"/>
    </row>
    <row r="929" ht="15.75" customHeight="1">
      <c r="F929" s="1"/>
    </row>
    <row r="930" ht="15.75" customHeight="1">
      <c r="F930" s="1"/>
    </row>
    <row r="931" ht="15.75" customHeight="1">
      <c r="F931" s="1"/>
    </row>
    <row r="932" ht="15.75" customHeight="1">
      <c r="F932" s="1"/>
    </row>
    <row r="933" ht="15.75" customHeight="1">
      <c r="F933" s="1"/>
    </row>
    <row r="934" ht="15.75" customHeight="1">
      <c r="F934" s="1"/>
    </row>
    <row r="935" ht="15.75" customHeight="1">
      <c r="F935" s="1"/>
    </row>
    <row r="936" ht="15.75" customHeight="1">
      <c r="F936" s="1"/>
    </row>
    <row r="937" ht="15.75" customHeight="1">
      <c r="F937" s="1"/>
    </row>
    <row r="938" ht="15.75" customHeight="1">
      <c r="F938" s="1"/>
    </row>
    <row r="939" ht="15.75" customHeight="1">
      <c r="F939" s="1"/>
    </row>
    <row r="940" ht="15.75" customHeight="1">
      <c r="F940" s="1"/>
    </row>
    <row r="941" ht="15.75" customHeight="1">
      <c r="F941" s="1"/>
    </row>
    <row r="942" ht="15.75" customHeight="1">
      <c r="F942" s="1"/>
    </row>
    <row r="943" ht="15.75" customHeight="1">
      <c r="F943" s="1"/>
    </row>
    <row r="944" ht="15.75" customHeight="1">
      <c r="F944" s="1"/>
    </row>
    <row r="945" ht="15.75" customHeight="1">
      <c r="F945" s="1"/>
    </row>
    <row r="946" ht="15.75" customHeight="1">
      <c r="F946" s="1"/>
    </row>
    <row r="947" ht="15.75" customHeight="1">
      <c r="F947" s="1"/>
    </row>
    <row r="948" ht="15.75" customHeight="1">
      <c r="F948" s="1"/>
    </row>
    <row r="949" ht="15.75" customHeight="1">
      <c r="F949" s="1"/>
    </row>
    <row r="950" ht="15.75" customHeight="1">
      <c r="F950" s="1"/>
    </row>
    <row r="951" ht="15.75" customHeight="1">
      <c r="F951" s="1"/>
    </row>
    <row r="952" ht="15.75" customHeight="1">
      <c r="F952" s="1"/>
    </row>
    <row r="953" ht="15.75" customHeight="1">
      <c r="F953" s="1"/>
    </row>
    <row r="954" ht="15.75" customHeight="1">
      <c r="F954" s="1"/>
    </row>
    <row r="955" ht="15.75" customHeight="1">
      <c r="F955" s="1"/>
    </row>
    <row r="956" ht="15.75" customHeight="1">
      <c r="F956" s="1"/>
    </row>
    <row r="957" ht="15.75" customHeight="1">
      <c r="F957" s="1"/>
    </row>
    <row r="958" ht="15.75" customHeight="1">
      <c r="F958" s="1"/>
    </row>
    <row r="959" ht="15.75" customHeight="1">
      <c r="F959" s="1"/>
    </row>
    <row r="960" ht="15.75" customHeight="1">
      <c r="F960" s="1"/>
    </row>
    <row r="961" ht="15.75" customHeight="1">
      <c r="F961" s="1"/>
    </row>
    <row r="962" ht="15.75" customHeight="1">
      <c r="F962" s="1"/>
    </row>
    <row r="963" ht="15.75" customHeight="1">
      <c r="F963" s="1"/>
    </row>
    <row r="964" ht="15.75" customHeight="1">
      <c r="F964" s="1"/>
    </row>
    <row r="965" ht="15.75" customHeight="1">
      <c r="F965" s="1"/>
    </row>
    <row r="966" ht="15.75" customHeight="1">
      <c r="F966" s="1"/>
    </row>
    <row r="967" ht="15.75" customHeight="1">
      <c r="F967" s="1"/>
    </row>
    <row r="968" ht="15.75" customHeight="1">
      <c r="F968" s="1"/>
    </row>
    <row r="969" ht="15.75" customHeight="1">
      <c r="F969" s="1"/>
    </row>
    <row r="970" ht="15.75" customHeight="1">
      <c r="F970" s="1"/>
    </row>
    <row r="971" ht="15.75" customHeight="1">
      <c r="F971" s="1"/>
    </row>
    <row r="972" ht="15.75" customHeight="1">
      <c r="F972" s="1"/>
    </row>
    <row r="973" ht="15.75" customHeight="1">
      <c r="F973" s="1"/>
    </row>
    <row r="974" ht="15.75" customHeight="1">
      <c r="F974" s="1"/>
    </row>
    <row r="975" ht="15.75" customHeight="1">
      <c r="F975" s="1"/>
    </row>
    <row r="976" ht="15.75" customHeight="1">
      <c r="F976" s="1"/>
    </row>
    <row r="977" ht="15.75" customHeight="1">
      <c r="F977" s="1"/>
    </row>
    <row r="978" ht="15.75" customHeight="1">
      <c r="F978" s="1"/>
    </row>
    <row r="979" ht="15.75" customHeight="1">
      <c r="F979" s="1"/>
    </row>
    <row r="980" ht="15.75" customHeight="1">
      <c r="F980" s="1"/>
    </row>
    <row r="981" ht="15.75" customHeight="1">
      <c r="F981" s="1"/>
    </row>
    <row r="982" ht="15.75" customHeight="1">
      <c r="F982" s="1"/>
    </row>
    <row r="983" ht="15.75" customHeight="1">
      <c r="F983" s="1"/>
    </row>
    <row r="984" ht="15.75" customHeight="1">
      <c r="F984" s="1"/>
    </row>
    <row r="985" ht="15.75" customHeight="1">
      <c r="F985" s="1"/>
    </row>
    <row r="986" ht="15.75" customHeight="1">
      <c r="F986" s="1"/>
    </row>
    <row r="987" ht="15.75" customHeight="1">
      <c r="F987" s="1"/>
    </row>
    <row r="988" ht="15.75" customHeight="1">
      <c r="F988" s="1"/>
    </row>
    <row r="989" ht="15.75" customHeight="1">
      <c r="F989" s="1"/>
    </row>
    <row r="990" ht="15.75" customHeight="1">
      <c r="F990" s="1"/>
    </row>
    <row r="991" ht="15.75" customHeight="1">
      <c r="F991" s="1"/>
    </row>
    <row r="992" ht="15.75" customHeight="1">
      <c r="F992" s="1"/>
    </row>
    <row r="993" ht="15.75" customHeight="1">
      <c r="F993" s="1"/>
    </row>
    <row r="994" ht="15.75" customHeight="1">
      <c r="F994" s="1"/>
    </row>
    <row r="995" ht="15.75" customHeight="1">
      <c r="F995" s="1"/>
    </row>
    <row r="996" ht="15.75" customHeight="1">
      <c r="F996" s="1"/>
    </row>
    <row r="997" ht="15.75" customHeight="1">
      <c r="F997" s="1"/>
    </row>
    <row r="998" ht="15.75" customHeight="1">
      <c r="F998" s="1"/>
    </row>
    <row r="999" ht="15.75" customHeight="1">
      <c r="F999" s="1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6.13"/>
    <col customWidth="1" min="2" max="2" width="26.75"/>
    <col customWidth="1" min="3" max="3" width="16.88"/>
    <col customWidth="1" min="4" max="4" width="20.13"/>
    <col customWidth="1" min="5" max="5" width="10.13"/>
    <col customWidth="1" min="6" max="6" width="10.25"/>
    <col customWidth="1" min="7" max="26" width="10.75"/>
  </cols>
  <sheetData>
    <row r="1">
      <c r="A1" s="70" t="s">
        <v>113</v>
      </c>
      <c r="F1" s="103" t="str">
        <f>'EQUIPOS E INFRAESTRUCTURA'!$F$9/PRECIO</f>
        <v>#REF!</v>
      </c>
    </row>
    <row r="2" ht="12.75" customHeight="1"/>
    <row r="3">
      <c r="A3" s="104" t="s">
        <v>114</v>
      </c>
      <c r="B3" s="105" t="s">
        <v>115</v>
      </c>
      <c r="C3" s="106" t="s">
        <v>116</v>
      </c>
      <c r="D3" s="106" t="s">
        <v>117</v>
      </c>
      <c r="E3" s="107" t="s">
        <v>118</v>
      </c>
      <c r="F3" s="106" t="s">
        <v>119</v>
      </c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ht="12.75" customHeight="1">
      <c r="A4" s="109" t="s">
        <v>120</v>
      </c>
      <c r="B4" s="110" t="s">
        <v>121</v>
      </c>
      <c r="C4" s="111" t="str">
        <f>#REF!</f>
        <v>#REF!</v>
      </c>
      <c r="D4" s="112"/>
      <c r="E4" s="113">
        <v>3.0</v>
      </c>
      <c r="F4" s="114" t="str">
        <f>(C4+D4)*E4</f>
        <v>#REF!</v>
      </c>
    </row>
    <row r="5" ht="12.75" customHeight="1">
      <c r="A5" s="115" t="s">
        <v>122</v>
      </c>
      <c r="B5" s="116" t="s">
        <v>123</v>
      </c>
      <c r="C5" s="117">
        <v>59990.0</v>
      </c>
      <c r="D5" s="118"/>
      <c r="E5" s="118">
        <v>3.0</v>
      </c>
      <c r="F5" s="119">
        <f t="shared" ref="F5:F8" si="1">(+C5+D5)*E5</f>
        <v>179970</v>
      </c>
    </row>
    <row r="6" ht="12.75" customHeight="1">
      <c r="A6" s="109" t="s">
        <v>124</v>
      </c>
      <c r="B6" s="120" t="s">
        <v>125</v>
      </c>
      <c r="C6" s="111" t="str">
        <f>PERT!Q40</f>
        <v>#VALUE!</v>
      </c>
      <c r="D6" s="113"/>
      <c r="E6" s="113">
        <v>3.0</v>
      </c>
      <c r="F6" s="114" t="str">
        <f t="shared" si="1"/>
        <v>#VALUE!</v>
      </c>
    </row>
    <row r="7" ht="12.75" customHeight="1">
      <c r="A7" s="115" t="s">
        <v>126</v>
      </c>
      <c r="B7" s="116" t="s">
        <v>127</v>
      </c>
      <c r="C7" s="118">
        <v>120000.0</v>
      </c>
      <c r="D7" s="118"/>
      <c r="E7" s="118">
        <v>2.0</v>
      </c>
      <c r="F7" s="119">
        <f t="shared" si="1"/>
        <v>240000</v>
      </c>
    </row>
    <row r="8" ht="12.75" customHeight="1">
      <c r="A8" s="121" t="s">
        <v>128</v>
      </c>
      <c r="B8" s="120" t="s">
        <v>129</v>
      </c>
      <c r="C8" s="113">
        <v>50000.0</v>
      </c>
      <c r="D8" s="113"/>
      <c r="E8" s="113">
        <v>3.0</v>
      </c>
      <c r="F8" s="122">
        <f t="shared" si="1"/>
        <v>150000</v>
      </c>
    </row>
    <row r="9" ht="12.75" customHeight="1">
      <c r="A9" s="123" t="s">
        <v>99</v>
      </c>
      <c r="B9" s="9"/>
      <c r="C9" s="9"/>
      <c r="D9" s="9"/>
      <c r="E9" s="10"/>
      <c r="F9" s="124" t="str">
        <f>SUBTOTAL(109,'EQUIPOS E INFRAESTRUCTURA'!$F$4:$F$8)</f>
        <v>#REF!</v>
      </c>
    </row>
    <row r="10" ht="12.75" customHeight="1">
      <c r="B10" s="108"/>
      <c r="C10" s="108"/>
      <c r="D10" s="108"/>
      <c r="E10" s="108"/>
      <c r="F10" s="71"/>
    </row>
    <row r="11" ht="12.75" customHeight="1">
      <c r="A11" s="102"/>
    </row>
    <row r="12" ht="12.75" customHeight="1">
      <c r="A12" s="102"/>
    </row>
    <row r="13" ht="12.75" customHeight="1">
      <c r="A13" s="74" t="s">
        <v>130</v>
      </c>
      <c r="F13" s="103" t="str">
        <f>F18/PRECIO</f>
        <v>#REF!</v>
      </c>
    </row>
    <row r="14" ht="12.75" customHeight="1"/>
    <row r="15">
      <c r="A15" s="125" t="s">
        <v>131</v>
      </c>
      <c r="B15" s="126" t="s">
        <v>115</v>
      </c>
      <c r="C15" s="106" t="s">
        <v>116</v>
      </c>
      <c r="D15" s="106" t="s">
        <v>117</v>
      </c>
      <c r="E15" s="107" t="s">
        <v>118</v>
      </c>
      <c r="F15" s="106" t="s">
        <v>119</v>
      </c>
    </row>
    <row r="16">
      <c r="A16" s="109" t="s">
        <v>132</v>
      </c>
      <c r="B16" s="127" t="s">
        <v>133</v>
      </c>
      <c r="C16" s="111" t="str">
        <f>#REF!</f>
        <v>#REF!</v>
      </c>
      <c r="D16" s="128"/>
      <c r="E16" s="129">
        <v>1.0</v>
      </c>
      <c r="F16" s="114" t="str">
        <f t="shared" ref="F16:F17" si="2">(+C16+D16)*E16</f>
        <v>#REF!</v>
      </c>
    </row>
    <row r="17">
      <c r="A17" s="115" t="s">
        <v>134</v>
      </c>
      <c r="B17" s="130" t="s">
        <v>135</v>
      </c>
      <c r="C17" s="117"/>
      <c r="D17" s="131">
        <v>300000.0</v>
      </c>
      <c r="E17" s="132">
        <v>4.0</v>
      </c>
      <c r="F17" s="119">
        <f t="shared" si="2"/>
        <v>1200000</v>
      </c>
    </row>
    <row r="18" ht="12.75" customHeight="1">
      <c r="A18" s="133" t="s">
        <v>99</v>
      </c>
      <c r="B18" s="9"/>
      <c r="C18" s="9"/>
      <c r="D18" s="9"/>
      <c r="E18" s="10"/>
      <c r="F18" s="134" t="str">
        <f>SUM(F16:F17)</f>
        <v>#REF!</v>
      </c>
    </row>
    <row r="19" ht="12.75" customHeight="1"/>
    <row r="20">
      <c r="C20" s="135"/>
      <c r="D20" s="135"/>
      <c r="E20" s="135"/>
      <c r="F20" s="135"/>
    </row>
    <row r="21" ht="12.75" customHeight="1"/>
    <row r="22" ht="12.75" customHeight="1"/>
    <row r="23" ht="15.75" customHeight="1"/>
    <row r="24" ht="12.75" customHeight="1"/>
    <row r="25" ht="12.75" customHeight="1">
      <c r="A25" s="74"/>
    </row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2">
    <mergeCell ref="A9:E9"/>
    <mergeCell ref="A18:E18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0.5"/>
    <col customWidth="1" min="2" max="2" width="29.88"/>
    <col customWidth="1" min="3" max="3" width="11.88"/>
    <col customWidth="1" min="4" max="4" width="19.13"/>
    <col customWidth="1" min="5" max="25" width="10.75"/>
    <col customWidth="1" min="26" max="26" width="14.5"/>
  </cols>
  <sheetData>
    <row r="1" ht="17.25" customHeight="1">
      <c r="A1" s="136" t="s">
        <v>136</v>
      </c>
      <c r="B1" s="137"/>
      <c r="C1" s="137"/>
      <c r="D1" s="138" t="str">
        <f>E7/PRECIO</f>
        <v>#REF!</v>
      </c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</row>
    <row r="2" ht="37.5" customHeight="1">
      <c r="A2" s="139" t="s">
        <v>115</v>
      </c>
      <c r="B2" s="140" t="s">
        <v>137</v>
      </c>
      <c r="C2" s="141" t="s">
        <v>138</v>
      </c>
      <c r="D2" s="141" t="s">
        <v>139</v>
      </c>
      <c r="E2" s="140" t="s">
        <v>140</v>
      </c>
    </row>
    <row r="3" ht="12.75" customHeight="1">
      <c r="A3" s="142" t="s">
        <v>141</v>
      </c>
      <c r="B3" s="143" t="str">
        <f>#REF!</f>
        <v>#REF!</v>
      </c>
      <c r="C3" s="144">
        <v>1.0</v>
      </c>
      <c r="D3" s="145">
        <v>4.0</v>
      </c>
      <c r="E3" s="146" t="str">
        <f t="shared" ref="E3:E6" si="1">B3*C3*D3</f>
        <v>#REF!</v>
      </c>
    </row>
    <row r="4" ht="12.75" customHeight="1">
      <c r="A4" s="142" t="s">
        <v>142</v>
      </c>
      <c r="B4" s="147">
        <f>25000/12</f>
        <v>2083.333333</v>
      </c>
      <c r="C4" s="144">
        <v>1.0</v>
      </c>
      <c r="D4" s="145">
        <v>4.0</v>
      </c>
      <c r="E4" s="146">
        <f t="shared" si="1"/>
        <v>8333.333333</v>
      </c>
    </row>
    <row r="5" ht="12.75" customHeight="1">
      <c r="A5" s="142" t="s">
        <v>143</v>
      </c>
      <c r="B5" s="144">
        <v>8000.0</v>
      </c>
      <c r="C5" s="144">
        <v>3.0</v>
      </c>
      <c r="D5" s="145">
        <v>4.0</v>
      </c>
      <c r="E5" s="146">
        <f t="shared" si="1"/>
        <v>96000</v>
      </c>
    </row>
    <row r="6" ht="12.75" customHeight="1">
      <c r="A6" s="142" t="s">
        <v>144</v>
      </c>
      <c r="B6" s="144">
        <v>15000.0</v>
      </c>
      <c r="C6" s="144">
        <v>1.0</v>
      </c>
      <c r="D6" s="145">
        <v>4.0</v>
      </c>
      <c r="E6" s="146">
        <f t="shared" si="1"/>
        <v>60000</v>
      </c>
    </row>
    <row r="7" ht="12.75" customHeight="1">
      <c r="A7" s="148" t="s">
        <v>99</v>
      </c>
      <c r="B7" s="149"/>
      <c r="C7" s="150"/>
      <c r="D7" s="149"/>
      <c r="E7" s="151" t="str">
        <f>SUM(E3:E6)</f>
        <v>#REF!</v>
      </c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</row>
    <row r="8" ht="12.75" customHeight="1">
      <c r="B8" s="152"/>
      <c r="C8" s="152"/>
      <c r="D8" s="74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</row>
    <row r="9" ht="12.75" customHeight="1"/>
    <row r="10" ht="17.25" customHeight="1">
      <c r="A10" s="136" t="s">
        <v>145</v>
      </c>
      <c r="B10" s="137"/>
      <c r="C10" s="137"/>
      <c r="D10" s="138">
        <f>D14/PRECIO</f>
        <v>0.00326711928</v>
      </c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</row>
    <row r="11" ht="36.75" customHeight="1">
      <c r="A11" s="153" t="s">
        <v>115</v>
      </c>
      <c r="B11" s="154" t="s">
        <v>146</v>
      </c>
      <c r="C11" s="155" t="s">
        <v>138</v>
      </c>
      <c r="D11" s="156" t="s">
        <v>140</v>
      </c>
    </row>
    <row r="12" ht="12.75" customHeight="1">
      <c r="A12" s="157" t="s">
        <v>147</v>
      </c>
      <c r="B12" s="158">
        <v>40000.0</v>
      </c>
      <c r="C12" s="158">
        <v>1.0</v>
      </c>
      <c r="D12" s="159">
        <f t="shared" ref="D12:D13" si="2">+B12*C12</f>
        <v>40000</v>
      </c>
    </row>
    <row r="13" ht="12.75" customHeight="1">
      <c r="A13" s="160" t="s">
        <v>148</v>
      </c>
      <c r="B13" s="144">
        <v>60000.0</v>
      </c>
      <c r="C13" s="144">
        <v>1.0</v>
      </c>
      <c r="D13" s="146">
        <f t="shared" si="2"/>
        <v>60000</v>
      </c>
    </row>
    <row r="14" ht="12.75" customHeight="1">
      <c r="A14" s="148" t="s">
        <v>99</v>
      </c>
      <c r="B14" s="149"/>
      <c r="C14" s="150"/>
      <c r="D14" s="151">
        <f>SUM(D12:D13)</f>
        <v>100000</v>
      </c>
    </row>
    <row r="15" ht="12.75" customHeight="1"/>
    <row r="16" ht="12.75" customHeight="1"/>
    <row r="17" ht="12.75" customHeight="1"/>
    <row r="18" ht="12.75" customHeight="1">
      <c r="A18" s="74"/>
    </row>
    <row r="19" ht="12.75" customHeight="1">
      <c r="A19" s="74"/>
    </row>
    <row r="20" ht="12.75" customHeight="1"/>
    <row r="21" ht="12.75" customHeight="1">
      <c r="O21" s="152"/>
    </row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orientation="landscape"/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6.75"/>
    <col customWidth="1" min="2" max="2" width="14.13"/>
    <col customWidth="1" min="3" max="3" width="11.88"/>
    <col customWidth="1" min="4" max="6" width="10.75"/>
    <col customWidth="1" min="7" max="26" width="14.5"/>
  </cols>
  <sheetData>
    <row r="1" ht="12.75" customHeight="1">
      <c r="A1" s="74"/>
      <c r="B1" s="152"/>
      <c r="C1" s="152"/>
      <c r="D1" s="74"/>
    </row>
    <row r="2" ht="19.5" customHeight="1">
      <c r="A2" s="161" t="s">
        <v>149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A3" s="162" t="s">
        <v>115</v>
      </c>
      <c r="B3" s="163" t="s">
        <v>137</v>
      </c>
      <c r="C3" s="163" t="s">
        <v>138</v>
      </c>
      <c r="D3" s="164" t="s">
        <v>150</v>
      </c>
    </row>
    <row r="4" ht="12.75" customHeight="1">
      <c r="A4" s="160" t="s">
        <v>151</v>
      </c>
      <c r="B4" s="165">
        <v>50000.0</v>
      </c>
      <c r="C4" s="166">
        <v>4.0</v>
      </c>
      <c r="D4" s="146">
        <f t="shared" ref="D4:D6" si="1">B4*C4</f>
        <v>200000</v>
      </c>
    </row>
    <row r="5" ht="12.75" customHeight="1">
      <c r="A5" s="160" t="s">
        <v>152</v>
      </c>
      <c r="B5" s="165">
        <v>35000.0</v>
      </c>
      <c r="C5" s="166">
        <v>4.0</v>
      </c>
      <c r="D5" s="146">
        <f t="shared" si="1"/>
        <v>140000</v>
      </c>
    </row>
    <row r="6" ht="12.75" customHeight="1">
      <c r="A6" s="160" t="s">
        <v>153</v>
      </c>
      <c r="B6" s="165">
        <v>45000.0</v>
      </c>
      <c r="C6" s="166">
        <v>4.0</v>
      </c>
      <c r="D6" s="146">
        <f t="shared" si="1"/>
        <v>180000</v>
      </c>
    </row>
    <row r="7" ht="12.75" customHeight="1">
      <c r="A7" s="167" t="s">
        <v>154</v>
      </c>
      <c r="B7" s="168"/>
      <c r="C7" s="169"/>
      <c r="D7" s="170">
        <f>SUM(D4:D6)</f>
        <v>520000</v>
      </c>
    </row>
    <row r="8" ht="12.75" customHeight="1">
      <c r="A8" s="74"/>
      <c r="B8" s="152"/>
      <c r="C8" s="152"/>
      <c r="D8" s="74"/>
    </row>
    <row r="9" ht="12.75" customHeight="1">
      <c r="A9" s="74"/>
      <c r="B9" s="152"/>
      <c r="C9" s="152"/>
      <c r="D9" s="74"/>
    </row>
    <row r="10" ht="12.75" customHeight="1">
      <c r="A10" s="74"/>
      <c r="B10" s="152"/>
      <c r="C10" s="152"/>
      <c r="D10" s="74"/>
    </row>
    <row r="11" ht="19.5" customHeight="1">
      <c r="A11" s="161" t="s">
        <v>155</v>
      </c>
      <c r="B11" s="52"/>
      <c r="C11" s="171">
        <f>OTROS!$C$24/PRECIO</f>
        <v>0.11232245</v>
      </c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162" t="s">
        <v>115</v>
      </c>
      <c r="B12" s="163" t="s">
        <v>156</v>
      </c>
      <c r="C12" s="164" t="s">
        <v>157</v>
      </c>
    </row>
    <row r="13" ht="12.75" customHeight="1">
      <c r="A13" s="172" t="s">
        <v>158</v>
      </c>
      <c r="B13" s="173">
        <f>OTROS!$C13/PRECIO</f>
        <v>0.0326711928</v>
      </c>
      <c r="C13" s="174">
        <v>1000000.0</v>
      </c>
      <c r="E13" s="100" t="s">
        <v>159</v>
      </c>
    </row>
    <row r="14" ht="12.75" customHeight="1">
      <c r="A14" s="172" t="s">
        <v>160</v>
      </c>
      <c r="B14" s="173">
        <f>OTROS!$C14/PRECIO</f>
        <v>0.07965125723</v>
      </c>
      <c r="C14" s="175">
        <f>SUM(C15:C23)</f>
        <v>2437966</v>
      </c>
    </row>
    <row r="15" ht="12.75" customHeight="1">
      <c r="A15" s="176" t="s">
        <v>161</v>
      </c>
      <c r="B15" s="177">
        <f>OTROS!$C15/PRECIO</f>
        <v>0.00961343314</v>
      </c>
      <c r="C15" s="174">
        <v>294248.0</v>
      </c>
      <c r="E15" s="100" t="s">
        <v>162</v>
      </c>
    </row>
    <row r="16" ht="12.75" customHeight="1">
      <c r="A16" s="176" t="s">
        <v>163</v>
      </c>
      <c r="B16" s="177">
        <f>OTROS!$C16/PRECIO</f>
        <v>0.0122516973</v>
      </c>
      <c r="C16" s="174">
        <v>375000.0</v>
      </c>
    </row>
    <row r="17" ht="12.75" customHeight="1">
      <c r="A17" s="176" t="s">
        <v>164</v>
      </c>
      <c r="B17" s="177">
        <f>OTROS!$C17/PRECIO</f>
        <v>0.002884016873</v>
      </c>
      <c r="C17" s="174">
        <v>88274.0</v>
      </c>
    </row>
    <row r="18" ht="12.75" customHeight="1">
      <c r="A18" s="176" t="s">
        <v>165</v>
      </c>
      <c r="B18" s="177">
        <f>OTROS!$C18/PRECIO</f>
        <v>0.01730419925</v>
      </c>
      <c r="C18" s="174">
        <v>529647.0</v>
      </c>
    </row>
    <row r="19" ht="12.75" customHeight="1">
      <c r="A19" s="176" t="s">
        <v>166</v>
      </c>
      <c r="B19" s="177">
        <f>OTROS!$C19/PRECIO</f>
        <v>0.002613695424</v>
      </c>
      <c r="C19" s="174">
        <v>80000.0</v>
      </c>
    </row>
    <row r="20" ht="12.75" customHeight="1">
      <c r="A20" s="176" t="s">
        <v>167</v>
      </c>
      <c r="B20" s="177">
        <f>OTROS!$C20/PRECIO</f>
        <v>0.007351018381</v>
      </c>
      <c r="C20" s="174">
        <v>225000.0</v>
      </c>
    </row>
    <row r="21" ht="12.75" customHeight="1">
      <c r="A21" s="176" t="s">
        <v>168</v>
      </c>
      <c r="B21" s="177">
        <f>OTROS!$C21/PRECIO</f>
        <v>0.005768066418</v>
      </c>
      <c r="C21" s="174">
        <v>176549.0</v>
      </c>
    </row>
    <row r="22" ht="12.75" customHeight="1">
      <c r="A22" s="176" t="s">
        <v>169</v>
      </c>
      <c r="B22" s="177">
        <f>OTROS!$C22/PRECIO</f>
        <v>0.0122516973</v>
      </c>
      <c r="C22" s="174">
        <v>375000.0</v>
      </c>
    </row>
    <row r="23" ht="12.75" customHeight="1">
      <c r="A23" s="176" t="s">
        <v>170</v>
      </c>
      <c r="B23" s="177">
        <f>OTROS!$C23/PRECIO</f>
        <v>0.00961343314</v>
      </c>
      <c r="C23" s="174">
        <v>294248.0</v>
      </c>
    </row>
    <row r="24" ht="12.75" customHeight="1">
      <c r="A24" s="178" t="s">
        <v>154</v>
      </c>
      <c r="B24" s="168"/>
      <c r="C24" s="179">
        <f>C13+C14</f>
        <v>3437966</v>
      </c>
    </row>
    <row r="25" ht="12.75" customHeight="1">
      <c r="A25" s="152"/>
      <c r="B25" s="152"/>
      <c r="C25" s="152"/>
      <c r="D25" s="74"/>
    </row>
    <row r="26" ht="12.75" customHeight="1">
      <c r="A26" s="152"/>
      <c r="B26" s="152"/>
      <c r="C26" s="152"/>
      <c r="D26" s="74"/>
    </row>
    <row r="27" ht="12.75" customHeight="1">
      <c r="A27" s="74"/>
      <c r="B27" s="152"/>
      <c r="C27" s="152"/>
      <c r="D27" s="74"/>
    </row>
    <row r="28" ht="15.0" customHeight="1">
      <c r="A28" s="136" t="s">
        <v>171</v>
      </c>
      <c r="B28" s="137"/>
      <c r="C28" s="180">
        <f>OTROS!$C$31/PRECIO</f>
        <v>0.25</v>
      </c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37"/>
    </row>
    <row r="29" ht="12.75" customHeight="1">
      <c r="A29" s="181" t="s">
        <v>172</v>
      </c>
      <c r="B29" s="181" t="s">
        <v>156</v>
      </c>
      <c r="C29" s="182" t="s">
        <v>173</v>
      </c>
    </row>
    <row r="30" ht="12.75" customHeight="1">
      <c r="A30" s="183" t="s">
        <v>171</v>
      </c>
      <c r="B30" s="184">
        <v>0.25</v>
      </c>
      <c r="C30" s="185">
        <f>OTROS!$B30*PRECIO</f>
        <v>7652001</v>
      </c>
    </row>
    <row r="31" ht="12.75" customHeight="1">
      <c r="A31" s="186" t="s">
        <v>174</v>
      </c>
      <c r="B31" s="187"/>
      <c r="C31" s="188">
        <f>SUBTOTAL(109,OTROS!$C$30)</f>
        <v>7652001</v>
      </c>
    </row>
    <row r="32" ht="12.75" customHeight="1">
      <c r="A32" s="74"/>
    </row>
    <row r="33" ht="12.75" customHeight="1">
      <c r="A33" s="74"/>
    </row>
    <row r="34" ht="12.75" customHeight="1"/>
    <row r="35" ht="12.75" customHeight="1">
      <c r="A35" s="74"/>
    </row>
    <row r="36" ht="12.75" customHeight="1">
      <c r="A36" s="74"/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printOptions/>
  <pageMargins bottom="1.0" footer="0.0" header="0.0" left="0.75" right="0.75" top="1.0"/>
  <pageSetup orientation="landscape"/>
  <drawing r:id="rId1"/>
  <tableParts count="3"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7.88"/>
    <col customWidth="1" min="2" max="2" width="12.13"/>
    <col customWidth="1" min="3" max="3" width="34.38"/>
    <col customWidth="1" min="4" max="4" width="8.88"/>
    <col customWidth="1" min="5" max="5" width="9.5"/>
    <col customWidth="1" min="6" max="6" width="17.13"/>
    <col customWidth="1" min="7" max="7" width="3.25"/>
    <col customWidth="1" min="8" max="8" width="16.25"/>
    <col customWidth="1" min="9" max="26" width="14.5"/>
  </cols>
  <sheetData>
    <row r="1">
      <c r="A1" s="189" t="s">
        <v>175</v>
      </c>
      <c r="B1" s="189"/>
      <c r="C1" s="190"/>
      <c r="D1" s="2"/>
      <c r="E1" s="2"/>
      <c r="H1" s="191"/>
      <c r="I1" s="191"/>
      <c r="J1" s="191"/>
      <c r="K1" s="191"/>
      <c r="L1" s="191"/>
      <c r="M1" s="191"/>
    </row>
    <row r="2" ht="12.75" customHeight="1">
      <c r="C2" s="1"/>
      <c r="D2" s="2"/>
      <c r="E2" s="2"/>
      <c r="F2" s="100" t="s">
        <v>176</v>
      </c>
      <c r="H2" s="191"/>
      <c r="I2" s="191"/>
      <c r="J2" s="191"/>
      <c r="K2" s="191"/>
      <c r="L2" s="191"/>
      <c r="M2" s="191"/>
    </row>
    <row r="3">
      <c r="A3" s="192" t="s">
        <v>177</v>
      </c>
      <c r="B3" s="193">
        <f>PRECIO/PRECIO</f>
        <v>1</v>
      </c>
      <c r="C3" s="194"/>
      <c r="D3" s="194"/>
      <c r="E3" s="194"/>
      <c r="F3" s="195">
        <v>3.0608004E7</v>
      </c>
      <c r="H3" s="196" t="s">
        <v>178</v>
      </c>
      <c r="I3" s="191"/>
      <c r="J3" s="191" t="s">
        <v>179</v>
      </c>
      <c r="K3" s="191"/>
      <c r="L3" s="191"/>
      <c r="M3" s="191"/>
    </row>
    <row r="4" ht="17.25" customHeight="1">
      <c r="A4" s="197" t="s">
        <v>171</v>
      </c>
      <c r="B4" s="198">
        <f>F4/PRECIO</f>
        <v>0.25</v>
      </c>
      <c r="C4" s="199"/>
      <c r="D4" s="200"/>
      <c r="E4" s="200"/>
      <c r="F4" s="201">
        <f>OTROS!$C$31</f>
        <v>7652001</v>
      </c>
      <c r="H4" s="202" t="s">
        <v>180</v>
      </c>
      <c r="I4" s="191"/>
      <c r="J4" s="191" t="s">
        <v>181</v>
      </c>
      <c r="K4" s="191"/>
      <c r="L4" s="191"/>
      <c r="M4" s="191"/>
    </row>
    <row r="5" ht="12.75" customHeight="1">
      <c r="A5" s="203" t="s">
        <v>182</v>
      </c>
      <c r="B5" s="204" t="str">
        <f>F5/PRECIO</f>
        <v>#VALUE!</v>
      </c>
      <c r="C5" s="205" t="s">
        <v>183</v>
      </c>
      <c r="D5" s="206" t="str">
        <f>E5/PRECIO</f>
        <v>#VALUE!</v>
      </c>
      <c r="E5" s="207" t="str">
        <f>REMUNERACIONES!G13</f>
        <v>#VALUE!</v>
      </c>
      <c r="F5" s="208" t="str">
        <f>SUM(E5:E10)</f>
        <v>#VALUE!</v>
      </c>
      <c r="H5" s="202" t="str">
        <f>"65-75%"</f>
        <v>65-75%</v>
      </c>
      <c r="I5" s="191"/>
      <c r="J5" s="191"/>
      <c r="K5" s="191"/>
      <c r="L5" s="191"/>
      <c r="M5" s="191"/>
    </row>
    <row r="6" ht="12.75" customHeight="1">
      <c r="A6" s="209"/>
      <c r="B6" s="210"/>
      <c r="C6" s="211" t="s">
        <v>184</v>
      </c>
      <c r="D6" s="212" t="str">
        <f>E6/PRECIO</f>
        <v>#REF!</v>
      </c>
      <c r="E6" s="213" t="str">
        <f>'EQUIPOS E INFRAESTRUCTURA'!F9</f>
        <v>#REF!</v>
      </c>
      <c r="F6" s="214"/>
      <c r="I6" s="191"/>
      <c r="J6" s="191"/>
      <c r="K6" s="191"/>
      <c r="L6" s="191"/>
      <c r="M6" s="191"/>
    </row>
    <row r="7" ht="12.75" customHeight="1">
      <c r="A7" s="209"/>
      <c r="B7" s="210"/>
      <c r="C7" s="211" t="s">
        <v>185</v>
      </c>
      <c r="D7" s="212" t="str">
        <f>E7/PRECIO</f>
        <v>#REF!</v>
      </c>
      <c r="E7" s="215" t="str">
        <f>'EQUIPOS E INFRAESTRUCTURA'!F18</f>
        <v>#REF!</v>
      </c>
      <c r="F7" s="214"/>
      <c r="I7" s="191"/>
      <c r="J7" s="191"/>
      <c r="K7" s="191"/>
      <c r="L7" s="191"/>
      <c r="M7" s="191"/>
    </row>
    <row r="8" ht="12.75" customHeight="1">
      <c r="A8" s="209"/>
      <c r="B8" s="210"/>
      <c r="C8" s="211" t="s">
        <v>186</v>
      </c>
      <c r="D8" s="212" t="str">
        <f>E8/PRECIO</f>
        <v>#REF!</v>
      </c>
      <c r="E8" s="215" t="str">
        <f>'SOFTWARE Y FUNGIBLES'!E7</f>
        <v>#REF!</v>
      </c>
      <c r="F8" s="214"/>
      <c r="I8" s="191"/>
      <c r="J8" s="191"/>
      <c r="K8" s="191"/>
      <c r="L8" s="191"/>
      <c r="M8" s="191"/>
    </row>
    <row r="9" ht="12.75" customHeight="1">
      <c r="A9" s="209"/>
      <c r="B9" s="210"/>
      <c r="C9" s="211" t="s">
        <v>187</v>
      </c>
      <c r="D9" s="212">
        <f>E9/PRECIO</f>
        <v>0.00326711928</v>
      </c>
      <c r="E9" s="215">
        <f>'SOFTWARE Y FUNGIBLES'!D14</f>
        <v>100000</v>
      </c>
      <c r="F9" s="214"/>
      <c r="I9" s="191"/>
      <c r="J9" s="191"/>
      <c r="K9" s="191"/>
      <c r="L9" s="191"/>
      <c r="M9" s="191"/>
    </row>
    <row r="10" ht="12.75" customHeight="1">
      <c r="A10" s="216"/>
      <c r="B10" s="217"/>
      <c r="C10" s="218" t="s">
        <v>149</v>
      </c>
      <c r="D10" s="219">
        <f>E10/PRECIO</f>
        <v>0.01698902026</v>
      </c>
      <c r="E10" s="220">
        <f>OTROS!D7</f>
        <v>520000</v>
      </c>
      <c r="F10" s="221"/>
      <c r="I10" s="191"/>
      <c r="J10" s="191"/>
      <c r="K10" s="191"/>
      <c r="L10" s="191"/>
      <c r="M10" s="191"/>
    </row>
    <row r="11" ht="12.75" customHeight="1">
      <c r="A11" s="222" t="s">
        <v>188</v>
      </c>
      <c r="B11" s="223">
        <f>F11/PRECIO</f>
        <v>0.11232245</v>
      </c>
      <c r="C11" s="224" t="s">
        <v>189</v>
      </c>
      <c r="D11" s="225">
        <f>E11/PRECIO</f>
        <v>0.07965125723</v>
      </c>
      <c r="E11" s="226">
        <f>OTROS!C14</f>
        <v>2437966</v>
      </c>
      <c r="F11" s="227">
        <f>SUM(E11:E12)</f>
        <v>3437966</v>
      </c>
      <c r="H11" s="228" t="str">
        <f>"5%"</f>
        <v>5%</v>
      </c>
      <c r="I11" s="191"/>
      <c r="J11" s="191"/>
      <c r="K11" s="191"/>
      <c r="L11" s="191"/>
      <c r="M11" s="191"/>
    </row>
    <row r="12" ht="12.75" customHeight="1">
      <c r="A12" s="216"/>
      <c r="B12" s="217"/>
      <c r="C12" s="229" t="s">
        <v>190</v>
      </c>
      <c r="D12" s="230">
        <f>E12/PRECIO</f>
        <v>0.0326711928</v>
      </c>
      <c r="E12" s="231">
        <f>OTROS!C13</f>
        <v>1000000</v>
      </c>
      <c r="F12" s="221"/>
      <c r="I12" s="191"/>
      <c r="J12" s="191"/>
      <c r="K12" s="191"/>
      <c r="L12" s="191"/>
      <c r="M12" s="191"/>
    </row>
    <row r="13" ht="12.75" customHeight="1">
      <c r="A13" s="232" t="s">
        <v>191</v>
      </c>
      <c r="B13" s="233" t="str">
        <f>SUM(B4:B12)</f>
        <v>#VALUE!</v>
      </c>
      <c r="C13" s="234"/>
      <c r="D13" s="235"/>
      <c r="E13" s="236" t="s">
        <v>192</v>
      </c>
      <c r="F13" s="237" t="str">
        <f>SUM(F4:F12)</f>
        <v>#VALUE!</v>
      </c>
      <c r="H13" s="191"/>
      <c r="I13" s="191"/>
      <c r="J13" s="191"/>
      <c r="K13" s="191"/>
      <c r="L13" s="191"/>
      <c r="M13" s="191"/>
    </row>
    <row r="14" ht="12.75" customHeight="1">
      <c r="A14" s="35"/>
      <c r="B14" s="35"/>
      <c r="C14" s="238"/>
      <c r="D14" s="2"/>
      <c r="E14" s="2"/>
      <c r="H14" s="191"/>
      <c r="I14" s="191"/>
      <c r="J14" s="191"/>
      <c r="K14" s="191"/>
      <c r="L14" s="191"/>
      <c r="M14" s="191"/>
    </row>
    <row r="15" ht="12.75" customHeight="1">
      <c r="C15" s="1"/>
      <c r="D15" s="2"/>
      <c r="E15" s="2"/>
    </row>
    <row r="16" ht="12.75" customHeight="1">
      <c r="C16" s="1"/>
      <c r="D16" s="2"/>
      <c r="E16" s="2"/>
    </row>
    <row r="17" ht="12.75" customHeight="1">
      <c r="C17" s="1"/>
      <c r="D17" s="2"/>
      <c r="E17" s="2"/>
    </row>
    <row r="18" ht="12.75" customHeight="1">
      <c r="C18" s="1"/>
      <c r="D18" s="2"/>
      <c r="E18" s="2"/>
    </row>
    <row r="19" ht="12.75" customHeight="1">
      <c r="C19" s="1"/>
      <c r="D19" s="2"/>
      <c r="E19" s="2"/>
    </row>
    <row r="20" ht="12.75" customHeight="1">
      <c r="C20" s="1"/>
      <c r="D20" s="2"/>
      <c r="E20" s="2"/>
    </row>
    <row r="21" ht="12.75" customHeight="1">
      <c r="C21" s="1"/>
      <c r="D21" s="2"/>
      <c r="E21" s="2"/>
    </row>
    <row r="22" ht="12.75" customHeight="1">
      <c r="C22" s="1"/>
      <c r="D22" s="2"/>
      <c r="E22" s="2"/>
    </row>
    <row r="23" ht="12.75" customHeight="1">
      <c r="C23" s="1"/>
      <c r="D23" s="2"/>
      <c r="E23" s="2"/>
    </row>
    <row r="24" ht="12.75" customHeight="1">
      <c r="C24" s="1"/>
      <c r="D24" s="2"/>
      <c r="E24" s="2"/>
    </row>
    <row r="25" ht="12.75" customHeight="1">
      <c r="C25" s="1"/>
      <c r="D25" s="2"/>
      <c r="E25" s="2"/>
    </row>
    <row r="26" ht="12.75" customHeight="1">
      <c r="C26" s="1"/>
      <c r="D26" s="2"/>
      <c r="E26" s="2"/>
    </row>
    <row r="27" ht="12.75" customHeight="1">
      <c r="C27" s="1"/>
      <c r="D27" s="2"/>
      <c r="E27" s="2"/>
    </row>
    <row r="28" ht="12.75" customHeight="1">
      <c r="C28" s="1"/>
      <c r="D28" s="2"/>
      <c r="E28" s="2"/>
    </row>
    <row r="29" ht="12.75" customHeight="1">
      <c r="C29" s="1"/>
      <c r="D29" s="2"/>
      <c r="E29" s="2"/>
    </row>
    <row r="30" ht="12.75" customHeight="1">
      <c r="C30" s="1"/>
      <c r="D30" s="2"/>
      <c r="E30" s="2"/>
    </row>
    <row r="31" ht="12.75" customHeight="1">
      <c r="C31" s="1"/>
      <c r="D31" s="2"/>
      <c r="E31" s="2"/>
    </row>
    <row r="32" ht="12.75" customHeight="1">
      <c r="C32" s="1"/>
      <c r="D32" s="2"/>
      <c r="E32" s="2"/>
    </row>
    <row r="33" ht="12.75" customHeight="1">
      <c r="C33" s="1"/>
      <c r="D33" s="2"/>
      <c r="E33" s="2"/>
    </row>
    <row r="34" ht="12.75" customHeight="1">
      <c r="C34" s="1"/>
      <c r="D34" s="2"/>
      <c r="E34" s="2"/>
    </row>
    <row r="35" ht="12.75" customHeight="1">
      <c r="C35" s="1"/>
      <c r="D35" s="2"/>
      <c r="E35" s="2"/>
    </row>
    <row r="36" ht="12.75" customHeight="1">
      <c r="C36" s="1"/>
      <c r="D36" s="2"/>
      <c r="E36" s="2"/>
    </row>
    <row r="37" ht="12.75" customHeight="1">
      <c r="C37" s="1"/>
      <c r="D37" s="2"/>
      <c r="E37" s="2"/>
    </row>
    <row r="38" ht="12.75" customHeight="1">
      <c r="C38" s="1"/>
      <c r="D38" s="2"/>
      <c r="E38" s="2"/>
    </row>
    <row r="39" ht="12.75" customHeight="1">
      <c r="C39" s="1"/>
      <c r="D39" s="2"/>
      <c r="E39" s="2"/>
    </row>
    <row r="40" ht="12.75" customHeight="1">
      <c r="C40" s="1"/>
      <c r="D40" s="2"/>
      <c r="E40" s="2"/>
    </row>
    <row r="41" ht="12.75" customHeight="1">
      <c r="C41" s="1"/>
      <c r="D41" s="2"/>
      <c r="E41" s="2"/>
    </row>
    <row r="42" ht="12.75" customHeight="1">
      <c r="C42" s="1"/>
      <c r="D42" s="2"/>
      <c r="E42" s="2"/>
    </row>
    <row r="43" ht="12.75" customHeight="1">
      <c r="C43" s="1"/>
      <c r="D43" s="2"/>
      <c r="E43" s="2"/>
    </row>
    <row r="44" ht="12.75" customHeight="1">
      <c r="C44" s="1"/>
      <c r="D44" s="2"/>
      <c r="E44" s="2"/>
    </row>
    <row r="45" ht="12.75" customHeight="1">
      <c r="C45" s="1"/>
      <c r="D45" s="2"/>
      <c r="E45" s="2"/>
    </row>
    <row r="46" ht="12.75" customHeight="1">
      <c r="C46" s="1"/>
      <c r="D46" s="2"/>
      <c r="E46" s="2"/>
    </row>
    <row r="47" ht="12.75" customHeight="1">
      <c r="C47" s="1"/>
      <c r="D47" s="2"/>
      <c r="E47" s="2"/>
    </row>
    <row r="48" ht="12.75" customHeight="1">
      <c r="C48" s="1"/>
      <c r="D48" s="2"/>
      <c r="E48" s="2"/>
    </row>
    <row r="49" ht="12.75" customHeight="1">
      <c r="C49" s="1"/>
      <c r="D49" s="2"/>
      <c r="E49" s="2"/>
    </row>
    <row r="50" ht="12.75" customHeight="1">
      <c r="C50" s="1"/>
      <c r="D50" s="2"/>
      <c r="E50" s="2"/>
    </row>
    <row r="51" ht="12.75" customHeight="1">
      <c r="C51" s="1"/>
      <c r="D51" s="2"/>
      <c r="E51" s="2"/>
    </row>
    <row r="52" ht="12.75" customHeight="1">
      <c r="C52" s="1"/>
      <c r="D52" s="2"/>
      <c r="E52" s="2"/>
    </row>
    <row r="53" ht="12.75" customHeight="1">
      <c r="C53" s="1"/>
      <c r="D53" s="2"/>
      <c r="E53" s="2"/>
    </row>
    <row r="54" ht="12.75" customHeight="1">
      <c r="C54" s="1"/>
      <c r="D54" s="2"/>
      <c r="E54" s="2"/>
    </row>
    <row r="55" ht="12.75" customHeight="1">
      <c r="C55" s="1"/>
      <c r="D55" s="2"/>
      <c r="E55" s="2"/>
    </row>
    <row r="56" ht="12.75" customHeight="1">
      <c r="C56" s="1"/>
      <c r="D56" s="2"/>
      <c r="E56" s="2"/>
    </row>
    <row r="57" ht="12.75" customHeight="1">
      <c r="C57" s="1"/>
      <c r="D57" s="2"/>
      <c r="E57" s="2"/>
    </row>
    <row r="58" ht="12.75" customHeight="1">
      <c r="C58" s="1"/>
      <c r="D58" s="2"/>
      <c r="E58" s="2"/>
    </row>
    <row r="59" ht="12.75" customHeight="1">
      <c r="C59" s="1"/>
      <c r="D59" s="2"/>
      <c r="E59" s="2"/>
    </row>
    <row r="60" ht="12.75" customHeight="1">
      <c r="C60" s="1"/>
      <c r="D60" s="2"/>
      <c r="E60" s="2"/>
    </row>
    <row r="61" ht="12.75" customHeight="1">
      <c r="C61" s="1"/>
      <c r="D61" s="2"/>
      <c r="E61" s="2"/>
    </row>
    <row r="62" ht="12.75" customHeight="1">
      <c r="C62" s="1"/>
      <c r="D62" s="2"/>
      <c r="E62" s="2"/>
    </row>
    <row r="63" ht="12.75" customHeight="1">
      <c r="C63" s="1"/>
      <c r="D63" s="2"/>
      <c r="E63" s="2"/>
    </row>
    <row r="64" ht="12.75" customHeight="1">
      <c r="C64" s="1"/>
      <c r="D64" s="2"/>
      <c r="E64" s="2"/>
    </row>
    <row r="65" ht="12.75" customHeight="1">
      <c r="C65" s="1"/>
      <c r="D65" s="2"/>
      <c r="E65" s="2"/>
    </row>
    <row r="66" ht="12.75" customHeight="1">
      <c r="C66" s="1"/>
      <c r="D66" s="2"/>
      <c r="E66" s="2"/>
    </row>
    <row r="67" ht="12.75" customHeight="1">
      <c r="C67" s="1"/>
      <c r="D67" s="2"/>
      <c r="E67" s="2"/>
    </row>
    <row r="68" ht="12.75" customHeight="1">
      <c r="C68" s="1"/>
      <c r="D68" s="2"/>
      <c r="E68" s="2"/>
    </row>
    <row r="69" ht="12.75" customHeight="1">
      <c r="C69" s="1"/>
      <c r="D69" s="2"/>
      <c r="E69" s="2"/>
    </row>
    <row r="70" ht="12.75" customHeight="1">
      <c r="C70" s="1"/>
      <c r="D70" s="2"/>
      <c r="E70" s="2"/>
    </row>
    <row r="71" ht="12.75" customHeight="1">
      <c r="C71" s="1"/>
      <c r="D71" s="2"/>
      <c r="E71" s="2"/>
    </row>
    <row r="72" ht="12.75" customHeight="1">
      <c r="C72" s="1"/>
      <c r="D72" s="2"/>
      <c r="E72" s="2"/>
    </row>
    <row r="73" ht="12.75" customHeight="1">
      <c r="C73" s="1"/>
      <c r="D73" s="2"/>
      <c r="E73" s="2"/>
    </row>
    <row r="74" ht="12.75" customHeight="1">
      <c r="C74" s="1"/>
      <c r="D74" s="2"/>
      <c r="E74" s="2"/>
    </row>
    <row r="75" ht="12.75" customHeight="1">
      <c r="C75" s="1"/>
      <c r="D75" s="2"/>
      <c r="E75" s="2"/>
    </row>
    <row r="76" ht="12.75" customHeight="1">
      <c r="C76" s="1"/>
      <c r="D76" s="2"/>
      <c r="E76" s="2"/>
    </row>
    <row r="77" ht="12.75" customHeight="1">
      <c r="C77" s="1"/>
      <c r="D77" s="2"/>
      <c r="E77" s="2"/>
    </row>
    <row r="78" ht="12.75" customHeight="1">
      <c r="C78" s="1"/>
      <c r="D78" s="2"/>
      <c r="E78" s="2"/>
    </row>
    <row r="79" ht="12.75" customHeight="1">
      <c r="C79" s="1"/>
      <c r="D79" s="2"/>
      <c r="E79" s="2"/>
    </row>
    <row r="80" ht="12.75" customHeight="1">
      <c r="C80" s="1"/>
      <c r="D80" s="2"/>
      <c r="E80" s="2"/>
    </row>
    <row r="81" ht="12.75" customHeight="1">
      <c r="C81" s="1"/>
      <c r="D81" s="2"/>
      <c r="E81" s="2"/>
    </row>
    <row r="82" ht="12.75" customHeight="1">
      <c r="C82" s="1"/>
      <c r="D82" s="2"/>
      <c r="E82" s="2"/>
    </row>
    <row r="83" ht="12.75" customHeight="1">
      <c r="C83" s="1"/>
      <c r="D83" s="2"/>
      <c r="E83" s="2"/>
    </row>
    <row r="84" ht="12.75" customHeight="1">
      <c r="C84" s="1"/>
      <c r="D84" s="2"/>
      <c r="E84" s="2"/>
    </row>
    <row r="85" ht="12.75" customHeight="1">
      <c r="C85" s="1"/>
      <c r="D85" s="2"/>
      <c r="E85" s="2"/>
    </row>
    <row r="86" ht="12.75" customHeight="1">
      <c r="C86" s="1"/>
      <c r="D86" s="2"/>
      <c r="E86" s="2"/>
    </row>
    <row r="87" ht="12.75" customHeight="1">
      <c r="C87" s="1"/>
      <c r="D87" s="2"/>
      <c r="E87" s="2"/>
    </row>
    <row r="88" ht="12.75" customHeight="1">
      <c r="C88" s="1"/>
      <c r="D88" s="2"/>
      <c r="E88" s="2"/>
    </row>
    <row r="89" ht="12.75" customHeight="1">
      <c r="C89" s="1"/>
      <c r="D89" s="2"/>
      <c r="E89" s="2"/>
    </row>
    <row r="90" ht="12.75" customHeight="1">
      <c r="C90" s="1"/>
      <c r="D90" s="2"/>
      <c r="E90" s="2"/>
    </row>
    <row r="91" ht="12.75" customHeight="1">
      <c r="C91" s="1"/>
      <c r="D91" s="2"/>
      <c r="E91" s="2"/>
    </row>
    <row r="92" ht="12.75" customHeight="1">
      <c r="C92" s="1"/>
      <c r="D92" s="2"/>
      <c r="E92" s="2"/>
    </row>
    <row r="93" ht="12.75" customHeight="1">
      <c r="C93" s="1"/>
      <c r="D93" s="2"/>
      <c r="E93" s="2"/>
    </row>
    <row r="94" ht="12.75" customHeight="1">
      <c r="C94" s="1"/>
      <c r="D94" s="2"/>
      <c r="E94" s="2"/>
    </row>
    <row r="95" ht="12.75" customHeight="1">
      <c r="C95" s="1"/>
      <c r="D95" s="2"/>
      <c r="E95" s="2"/>
    </row>
    <row r="96" ht="12.75" customHeight="1">
      <c r="C96" s="1"/>
      <c r="D96" s="2"/>
      <c r="E96" s="2"/>
    </row>
    <row r="97" ht="12.75" customHeight="1">
      <c r="C97" s="1"/>
      <c r="D97" s="2"/>
      <c r="E97" s="2"/>
    </row>
    <row r="98" ht="12.75" customHeight="1">
      <c r="C98" s="1"/>
      <c r="D98" s="2"/>
      <c r="E98" s="2"/>
    </row>
    <row r="99" ht="12.75" customHeight="1">
      <c r="C99" s="1"/>
      <c r="D99" s="2"/>
      <c r="E99" s="2"/>
    </row>
    <row r="100" ht="12.75" customHeight="1">
      <c r="C100" s="1"/>
      <c r="D100" s="2"/>
      <c r="E100" s="2"/>
    </row>
    <row r="101" ht="12.75" customHeight="1">
      <c r="C101" s="1"/>
      <c r="D101" s="2"/>
      <c r="E101" s="2"/>
    </row>
    <row r="102" ht="12.75" customHeight="1">
      <c r="C102" s="1"/>
      <c r="D102" s="2"/>
      <c r="E102" s="2"/>
    </row>
    <row r="103" ht="12.75" customHeight="1">
      <c r="C103" s="1"/>
      <c r="D103" s="2"/>
      <c r="E103" s="2"/>
    </row>
    <row r="104" ht="12.75" customHeight="1">
      <c r="C104" s="1"/>
      <c r="D104" s="2"/>
      <c r="E104" s="2"/>
    </row>
    <row r="105" ht="12.75" customHeight="1">
      <c r="C105" s="1"/>
      <c r="D105" s="2"/>
      <c r="E105" s="2"/>
    </row>
    <row r="106" ht="12.75" customHeight="1">
      <c r="C106" s="1"/>
      <c r="D106" s="2"/>
      <c r="E106" s="2"/>
    </row>
    <row r="107" ht="12.75" customHeight="1">
      <c r="C107" s="1"/>
      <c r="D107" s="2"/>
      <c r="E107" s="2"/>
    </row>
    <row r="108" ht="12.75" customHeight="1">
      <c r="C108" s="1"/>
      <c r="D108" s="2"/>
      <c r="E108" s="2"/>
    </row>
    <row r="109" ht="12.75" customHeight="1">
      <c r="C109" s="1"/>
      <c r="D109" s="2"/>
      <c r="E109" s="2"/>
    </row>
    <row r="110" ht="12.75" customHeight="1">
      <c r="C110" s="1"/>
      <c r="D110" s="2"/>
      <c r="E110" s="2"/>
    </row>
    <row r="111" ht="12.75" customHeight="1">
      <c r="C111" s="1"/>
      <c r="D111" s="2"/>
      <c r="E111" s="2"/>
    </row>
    <row r="112" ht="12.75" customHeight="1">
      <c r="C112" s="1"/>
      <c r="D112" s="2"/>
      <c r="E112" s="2"/>
    </row>
    <row r="113" ht="12.75" customHeight="1">
      <c r="C113" s="1"/>
      <c r="D113" s="2"/>
      <c r="E113" s="2"/>
    </row>
    <row r="114" ht="12.75" customHeight="1">
      <c r="C114" s="1"/>
      <c r="D114" s="2"/>
      <c r="E114" s="2"/>
    </row>
    <row r="115" ht="12.75" customHeight="1">
      <c r="C115" s="1"/>
      <c r="D115" s="2"/>
      <c r="E115" s="2"/>
    </row>
    <row r="116" ht="12.75" customHeight="1">
      <c r="C116" s="1"/>
      <c r="D116" s="2"/>
      <c r="E116" s="2"/>
    </row>
    <row r="117" ht="12.75" customHeight="1">
      <c r="C117" s="1"/>
      <c r="D117" s="2"/>
      <c r="E117" s="2"/>
    </row>
    <row r="118" ht="12.75" customHeight="1">
      <c r="C118" s="1"/>
      <c r="D118" s="2"/>
      <c r="E118" s="2"/>
    </row>
    <row r="119" ht="12.75" customHeight="1">
      <c r="C119" s="1"/>
      <c r="D119" s="2"/>
      <c r="E119" s="2"/>
    </row>
    <row r="120" ht="12.75" customHeight="1">
      <c r="C120" s="1"/>
      <c r="D120" s="2"/>
      <c r="E120" s="2"/>
    </row>
    <row r="121" ht="12.75" customHeight="1">
      <c r="C121" s="1"/>
      <c r="D121" s="2"/>
      <c r="E121" s="2"/>
    </row>
    <row r="122" ht="12.75" customHeight="1">
      <c r="C122" s="1"/>
      <c r="D122" s="2"/>
      <c r="E122" s="2"/>
    </row>
    <row r="123" ht="12.75" customHeight="1">
      <c r="C123" s="1"/>
      <c r="D123" s="2"/>
      <c r="E123" s="2"/>
    </row>
    <row r="124" ht="12.75" customHeight="1">
      <c r="C124" s="1"/>
      <c r="D124" s="2"/>
      <c r="E124" s="2"/>
    </row>
    <row r="125" ht="12.75" customHeight="1">
      <c r="C125" s="1"/>
      <c r="D125" s="2"/>
      <c r="E125" s="2"/>
    </row>
    <row r="126" ht="12.75" customHeight="1">
      <c r="C126" s="1"/>
      <c r="D126" s="2"/>
      <c r="E126" s="2"/>
    </row>
    <row r="127" ht="12.75" customHeight="1">
      <c r="C127" s="1"/>
      <c r="D127" s="2"/>
      <c r="E127" s="2"/>
    </row>
    <row r="128" ht="12.75" customHeight="1">
      <c r="C128" s="1"/>
      <c r="D128" s="2"/>
      <c r="E128" s="2"/>
    </row>
    <row r="129" ht="12.75" customHeight="1">
      <c r="C129" s="1"/>
      <c r="D129" s="2"/>
      <c r="E129" s="2"/>
    </row>
    <row r="130" ht="12.75" customHeight="1">
      <c r="C130" s="1"/>
      <c r="D130" s="2"/>
      <c r="E130" s="2"/>
    </row>
    <row r="131" ht="12.75" customHeight="1">
      <c r="C131" s="1"/>
      <c r="D131" s="2"/>
      <c r="E131" s="2"/>
    </row>
    <row r="132" ht="12.75" customHeight="1">
      <c r="C132" s="1"/>
      <c r="D132" s="2"/>
      <c r="E132" s="2"/>
    </row>
    <row r="133" ht="12.75" customHeight="1">
      <c r="C133" s="1"/>
      <c r="D133" s="2"/>
      <c r="E133" s="2"/>
    </row>
    <row r="134" ht="12.75" customHeight="1">
      <c r="C134" s="1"/>
      <c r="D134" s="2"/>
      <c r="E134" s="2"/>
    </row>
    <row r="135" ht="12.75" customHeight="1">
      <c r="C135" s="1"/>
      <c r="D135" s="2"/>
      <c r="E135" s="2"/>
    </row>
    <row r="136" ht="12.75" customHeight="1">
      <c r="C136" s="1"/>
      <c r="D136" s="2"/>
      <c r="E136" s="2"/>
    </row>
    <row r="137" ht="12.75" customHeight="1">
      <c r="C137" s="1"/>
      <c r="D137" s="2"/>
      <c r="E137" s="2"/>
    </row>
    <row r="138" ht="12.75" customHeight="1">
      <c r="C138" s="1"/>
      <c r="D138" s="2"/>
      <c r="E138" s="2"/>
    </row>
    <row r="139" ht="12.75" customHeight="1">
      <c r="C139" s="1"/>
      <c r="D139" s="2"/>
      <c r="E139" s="2"/>
    </row>
    <row r="140" ht="12.75" customHeight="1">
      <c r="C140" s="1"/>
      <c r="D140" s="2"/>
      <c r="E140" s="2"/>
    </row>
    <row r="141" ht="12.75" customHeight="1">
      <c r="C141" s="1"/>
      <c r="D141" s="2"/>
      <c r="E141" s="2"/>
    </row>
    <row r="142" ht="12.75" customHeight="1">
      <c r="C142" s="1"/>
      <c r="D142" s="2"/>
      <c r="E142" s="2"/>
    </row>
    <row r="143" ht="12.75" customHeight="1">
      <c r="C143" s="1"/>
      <c r="D143" s="2"/>
      <c r="E143" s="2"/>
    </row>
    <row r="144" ht="12.75" customHeight="1">
      <c r="C144" s="1"/>
      <c r="D144" s="2"/>
      <c r="E144" s="2"/>
    </row>
    <row r="145" ht="12.75" customHeight="1">
      <c r="C145" s="1"/>
      <c r="D145" s="2"/>
      <c r="E145" s="2"/>
    </row>
    <row r="146" ht="12.75" customHeight="1">
      <c r="C146" s="1"/>
      <c r="D146" s="2"/>
      <c r="E146" s="2"/>
    </row>
    <row r="147" ht="12.75" customHeight="1">
      <c r="C147" s="1"/>
      <c r="D147" s="2"/>
      <c r="E147" s="2"/>
    </row>
    <row r="148" ht="12.75" customHeight="1">
      <c r="C148" s="1"/>
      <c r="D148" s="2"/>
      <c r="E148" s="2"/>
    </row>
    <row r="149" ht="12.75" customHeight="1">
      <c r="C149" s="1"/>
      <c r="D149" s="2"/>
      <c r="E149" s="2"/>
    </row>
    <row r="150" ht="12.75" customHeight="1">
      <c r="C150" s="1"/>
      <c r="D150" s="2"/>
      <c r="E150" s="2"/>
    </row>
    <row r="151" ht="12.75" customHeight="1">
      <c r="C151" s="1"/>
      <c r="D151" s="2"/>
      <c r="E151" s="2"/>
    </row>
    <row r="152" ht="12.75" customHeight="1">
      <c r="C152" s="1"/>
      <c r="D152" s="2"/>
      <c r="E152" s="2"/>
    </row>
    <row r="153" ht="12.75" customHeight="1">
      <c r="C153" s="1"/>
      <c r="D153" s="2"/>
      <c r="E153" s="2"/>
    </row>
    <row r="154" ht="12.75" customHeight="1">
      <c r="C154" s="1"/>
      <c r="D154" s="2"/>
      <c r="E154" s="2"/>
    </row>
    <row r="155" ht="12.75" customHeight="1">
      <c r="C155" s="1"/>
      <c r="D155" s="2"/>
      <c r="E155" s="2"/>
    </row>
    <row r="156" ht="12.75" customHeight="1">
      <c r="C156" s="1"/>
      <c r="D156" s="2"/>
      <c r="E156" s="2"/>
    </row>
    <row r="157" ht="12.75" customHeight="1">
      <c r="C157" s="1"/>
      <c r="D157" s="2"/>
      <c r="E157" s="2"/>
    </row>
    <row r="158" ht="12.75" customHeight="1">
      <c r="C158" s="1"/>
      <c r="D158" s="2"/>
      <c r="E158" s="2"/>
    </row>
    <row r="159" ht="12.75" customHeight="1">
      <c r="C159" s="1"/>
      <c r="D159" s="2"/>
      <c r="E159" s="2"/>
    </row>
    <row r="160" ht="12.75" customHeight="1">
      <c r="C160" s="1"/>
      <c r="D160" s="2"/>
      <c r="E160" s="2"/>
    </row>
    <row r="161" ht="12.75" customHeight="1">
      <c r="C161" s="1"/>
      <c r="D161" s="2"/>
      <c r="E161" s="2"/>
    </row>
    <row r="162" ht="12.75" customHeight="1">
      <c r="C162" s="1"/>
      <c r="D162" s="2"/>
      <c r="E162" s="2"/>
    </row>
    <row r="163" ht="12.75" customHeight="1">
      <c r="C163" s="1"/>
      <c r="D163" s="2"/>
      <c r="E163" s="2"/>
    </row>
    <row r="164" ht="12.75" customHeight="1">
      <c r="C164" s="1"/>
      <c r="D164" s="2"/>
      <c r="E164" s="2"/>
    </row>
    <row r="165" ht="12.75" customHeight="1">
      <c r="C165" s="1"/>
      <c r="D165" s="2"/>
      <c r="E165" s="2"/>
    </row>
    <row r="166" ht="12.75" customHeight="1">
      <c r="C166" s="1"/>
      <c r="D166" s="2"/>
      <c r="E166" s="2"/>
    </row>
    <row r="167" ht="12.75" customHeight="1">
      <c r="C167" s="1"/>
      <c r="D167" s="2"/>
      <c r="E167" s="2"/>
    </row>
    <row r="168" ht="12.75" customHeight="1">
      <c r="C168" s="1"/>
      <c r="D168" s="2"/>
      <c r="E168" s="2"/>
    </row>
    <row r="169" ht="12.75" customHeight="1">
      <c r="C169" s="1"/>
      <c r="D169" s="2"/>
      <c r="E169" s="2"/>
    </row>
    <row r="170" ht="12.75" customHeight="1">
      <c r="C170" s="1"/>
      <c r="D170" s="2"/>
      <c r="E170" s="2"/>
    </row>
    <row r="171" ht="12.75" customHeight="1">
      <c r="C171" s="1"/>
      <c r="D171" s="2"/>
      <c r="E171" s="2"/>
    </row>
    <row r="172" ht="12.75" customHeight="1">
      <c r="C172" s="1"/>
      <c r="D172" s="2"/>
      <c r="E172" s="2"/>
    </row>
    <row r="173" ht="12.75" customHeight="1">
      <c r="C173" s="1"/>
      <c r="D173" s="2"/>
      <c r="E173" s="2"/>
    </row>
    <row r="174" ht="12.75" customHeight="1">
      <c r="C174" s="1"/>
      <c r="D174" s="2"/>
      <c r="E174" s="2"/>
    </row>
    <row r="175" ht="12.75" customHeight="1">
      <c r="C175" s="1"/>
      <c r="D175" s="2"/>
      <c r="E175" s="2"/>
    </row>
    <row r="176" ht="12.75" customHeight="1">
      <c r="C176" s="1"/>
      <c r="D176" s="2"/>
      <c r="E176" s="2"/>
    </row>
    <row r="177" ht="12.75" customHeight="1">
      <c r="C177" s="1"/>
      <c r="D177" s="2"/>
      <c r="E177" s="2"/>
    </row>
    <row r="178" ht="12.75" customHeight="1">
      <c r="C178" s="1"/>
      <c r="D178" s="2"/>
      <c r="E178" s="2"/>
    </row>
    <row r="179" ht="12.75" customHeight="1">
      <c r="C179" s="1"/>
      <c r="D179" s="2"/>
      <c r="E179" s="2"/>
    </row>
    <row r="180" ht="12.75" customHeight="1">
      <c r="C180" s="1"/>
      <c r="D180" s="2"/>
      <c r="E180" s="2"/>
    </row>
    <row r="181" ht="12.75" customHeight="1">
      <c r="C181" s="1"/>
      <c r="D181" s="2"/>
      <c r="E181" s="2"/>
    </row>
    <row r="182" ht="12.75" customHeight="1">
      <c r="C182" s="1"/>
      <c r="D182" s="2"/>
      <c r="E182" s="2"/>
    </row>
    <row r="183" ht="12.75" customHeight="1">
      <c r="C183" s="1"/>
      <c r="D183" s="2"/>
      <c r="E183" s="2"/>
    </row>
    <row r="184" ht="12.75" customHeight="1">
      <c r="C184" s="1"/>
      <c r="D184" s="2"/>
      <c r="E184" s="2"/>
    </row>
    <row r="185" ht="12.75" customHeight="1">
      <c r="C185" s="1"/>
      <c r="D185" s="2"/>
      <c r="E185" s="2"/>
    </row>
    <row r="186" ht="12.75" customHeight="1">
      <c r="C186" s="1"/>
      <c r="D186" s="2"/>
      <c r="E186" s="2"/>
    </row>
    <row r="187" ht="12.75" customHeight="1">
      <c r="C187" s="1"/>
      <c r="D187" s="2"/>
      <c r="E187" s="2"/>
    </row>
    <row r="188" ht="12.75" customHeight="1">
      <c r="C188" s="1"/>
      <c r="D188" s="2"/>
      <c r="E188" s="2"/>
    </row>
    <row r="189" ht="12.75" customHeight="1">
      <c r="C189" s="1"/>
      <c r="D189" s="2"/>
      <c r="E189" s="2"/>
    </row>
    <row r="190" ht="12.75" customHeight="1">
      <c r="C190" s="1"/>
      <c r="D190" s="2"/>
      <c r="E190" s="2"/>
    </row>
    <row r="191" ht="12.75" customHeight="1">
      <c r="C191" s="1"/>
      <c r="D191" s="2"/>
      <c r="E191" s="2"/>
    </row>
    <row r="192" ht="12.75" customHeight="1">
      <c r="C192" s="1"/>
      <c r="D192" s="2"/>
      <c r="E192" s="2"/>
    </row>
    <row r="193" ht="12.75" customHeight="1">
      <c r="C193" s="1"/>
      <c r="D193" s="2"/>
      <c r="E193" s="2"/>
    </row>
    <row r="194" ht="12.75" customHeight="1">
      <c r="C194" s="1"/>
      <c r="D194" s="2"/>
      <c r="E194" s="2"/>
    </row>
    <row r="195" ht="12.75" customHeight="1">
      <c r="C195" s="1"/>
      <c r="D195" s="2"/>
      <c r="E195" s="2"/>
    </row>
    <row r="196" ht="12.75" customHeight="1">
      <c r="C196" s="1"/>
      <c r="D196" s="2"/>
      <c r="E196" s="2"/>
    </row>
    <row r="197" ht="12.75" customHeight="1">
      <c r="C197" s="1"/>
      <c r="D197" s="2"/>
      <c r="E197" s="2"/>
    </row>
    <row r="198" ht="12.75" customHeight="1">
      <c r="C198" s="1"/>
      <c r="D198" s="2"/>
      <c r="E198" s="2"/>
    </row>
    <row r="199" ht="12.75" customHeight="1">
      <c r="C199" s="1"/>
      <c r="D199" s="2"/>
      <c r="E199" s="2"/>
    </row>
    <row r="200" ht="12.75" customHeight="1">
      <c r="C200" s="1"/>
      <c r="D200" s="2"/>
      <c r="E200" s="2"/>
    </row>
    <row r="201" ht="12.75" customHeight="1">
      <c r="C201" s="1"/>
      <c r="D201" s="2"/>
      <c r="E201" s="2"/>
    </row>
    <row r="202" ht="12.75" customHeight="1">
      <c r="C202" s="1"/>
      <c r="D202" s="2"/>
      <c r="E202" s="2"/>
    </row>
    <row r="203" ht="12.75" customHeight="1">
      <c r="C203" s="1"/>
      <c r="D203" s="2"/>
      <c r="E203" s="2"/>
    </row>
    <row r="204" ht="12.75" customHeight="1">
      <c r="C204" s="1"/>
      <c r="D204" s="2"/>
      <c r="E204" s="2"/>
    </row>
    <row r="205" ht="12.75" customHeight="1">
      <c r="C205" s="1"/>
      <c r="D205" s="2"/>
      <c r="E205" s="2"/>
    </row>
    <row r="206" ht="12.75" customHeight="1">
      <c r="C206" s="1"/>
      <c r="D206" s="2"/>
      <c r="E206" s="2"/>
    </row>
    <row r="207" ht="12.75" customHeight="1">
      <c r="C207" s="1"/>
      <c r="D207" s="2"/>
      <c r="E207" s="2"/>
    </row>
    <row r="208" ht="12.75" customHeight="1">
      <c r="C208" s="1"/>
      <c r="D208" s="2"/>
      <c r="E208" s="2"/>
    </row>
    <row r="209" ht="12.75" customHeight="1">
      <c r="C209" s="1"/>
      <c r="D209" s="2"/>
      <c r="E209" s="2"/>
    </row>
    <row r="210" ht="12.75" customHeight="1">
      <c r="C210" s="1"/>
      <c r="D210" s="2"/>
      <c r="E210" s="2"/>
    </row>
    <row r="211" ht="12.75" customHeight="1">
      <c r="C211" s="1"/>
      <c r="D211" s="2"/>
      <c r="E211" s="2"/>
    </row>
    <row r="212" ht="12.75" customHeight="1">
      <c r="C212" s="1"/>
      <c r="D212" s="2"/>
      <c r="E212" s="2"/>
    </row>
    <row r="213" ht="12.75" customHeight="1">
      <c r="C213" s="1"/>
      <c r="D213" s="2"/>
      <c r="E213" s="2"/>
    </row>
    <row r="214" ht="12.75" customHeight="1">
      <c r="C214" s="1"/>
      <c r="D214" s="2"/>
      <c r="E214" s="2"/>
    </row>
    <row r="215" ht="12.75" customHeight="1">
      <c r="C215" s="1"/>
      <c r="D215" s="2"/>
      <c r="E215" s="2"/>
    </row>
    <row r="216" ht="12.75" customHeight="1">
      <c r="C216" s="1"/>
      <c r="D216" s="2"/>
      <c r="E216" s="2"/>
    </row>
    <row r="217" ht="12.75" customHeight="1">
      <c r="C217" s="1"/>
      <c r="D217" s="2"/>
      <c r="E217" s="2"/>
    </row>
    <row r="218" ht="12.75" customHeight="1">
      <c r="C218" s="1"/>
      <c r="D218" s="2"/>
      <c r="E218" s="2"/>
    </row>
    <row r="219" ht="12.75" customHeight="1">
      <c r="C219" s="1"/>
      <c r="D219" s="2"/>
      <c r="E219" s="2"/>
    </row>
    <row r="220" ht="12.75" customHeight="1">
      <c r="C220" s="1"/>
      <c r="D220" s="2"/>
      <c r="E220" s="2"/>
    </row>
    <row r="221" ht="15.75" customHeight="1">
      <c r="C221" s="1"/>
      <c r="D221" s="2"/>
      <c r="E221" s="2"/>
    </row>
    <row r="222" ht="15.75" customHeight="1">
      <c r="C222" s="1"/>
      <c r="D222" s="2"/>
      <c r="E222" s="2"/>
    </row>
    <row r="223" ht="15.75" customHeight="1">
      <c r="C223" s="1"/>
      <c r="D223" s="2"/>
      <c r="E223" s="2"/>
    </row>
    <row r="224" ht="15.75" customHeight="1">
      <c r="C224" s="1"/>
      <c r="D224" s="2"/>
      <c r="E224" s="2"/>
    </row>
    <row r="225" ht="15.75" customHeight="1">
      <c r="C225" s="1"/>
      <c r="D225" s="2"/>
      <c r="E225" s="2"/>
    </row>
    <row r="226" ht="15.75" customHeight="1">
      <c r="C226" s="1"/>
      <c r="D226" s="2"/>
      <c r="E226" s="2"/>
    </row>
    <row r="227" ht="15.75" customHeight="1">
      <c r="C227" s="1"/>
      <c r="D227" s="2"/>
      <c r="E227" s="2"/>
    </row>
    <row r="228" ht="15.75" customHeight="1">
      <c r="C228" s="1"/>
      <c r="D228" s="2"/>
      <c r="E228" s="2"/>
    </row>
    <row r="229" ht="15.75" customHeight="1">
      <c r="C229" s="1"/>
      <c r="D229" s="2"/>
      <c r="E229" s="2"/>
    </row>
    <row r="230" ht="15.75" customHeight="1">
      <c r="C230" s="1"/>
      <c r="D230" s="2"/>
      <c r="E230" s="2"/>
    </row>
    <row r="231" ht="15.75" customHeight="1">
      <c r="C231" s="1"/>
      <c r="D231" s="2"/>
      <c r="E231" s="2"/>
    </row>
    <row r="232" ht="15.75" customHeight="1">
      <c r="C232" s="1"/>
      <c r="D232" s="2"/>
      <c r="E232" s="2"/>
    </row>
    <row r="233" ht="15.75" customHeight="1">
      <c r="C233" s="1"/>
      <c r="D233" s="2"/>
      <c r="E233" s="2"/>
    </row>
    <row r="234" ht="15.75" customHeight="1">
      <c r="C234" s="1"/>
      <c r="D234" s="2"/>
      <c r="E234" s="2"/>
    </row>
    <row r="235" ht="15.75" customHeight="1">
      <c r="C235" s="1"/>
      <c r="D235" s="2"/>
      <c r="E235" s="2"/>
    </row>
    <row r="236" ht="15.75" customHeight="1">
      <c r="C236" s="1"/>
      <c r="D236" s="2"/>
      <c r="E236" s="2"/>
    </row>
    <row r="237" ht="15.75" customHeight="1">
      <c r="C237" s="1"/>
      <c r="D237" s="2"/>
      <c r="E237" s="2"/>
    </row>
    <row r="238" ht="15.75" customHeight="1">
      <c r="C238" s="1"/>
      <c r="D238" s="2"/>
      <c r="E238" s="2"/>
    </row>
    <row r="239" ht="15.75" customHeight="1">
      <c r="C239" s="1"/>
      <c r="D239" s="2"/>
      <c r="E239" s="2"/>
    </row>
    <row r="240" ht="15.75" customHeight="1">
      <c r="C240" s="1"/>
      <c r="D240" s="2"/>
      <c r="E240" s="2"/>
    </row>
    <row r="241" ht="15.75" customHeight="1">
      <c r="C241" s="1"/>
      <c r="D241" s="2"/>
      <c r="E241" s="2"/>
    </row>
    <row r="242" ht="15.75" customHeight="1">
      <c r="C242" s="1"/>
      <c r="D242" s="2"/>
      <c r="E242" s="2"/>
    </row>
    <row r="243" ht="15.75" customHeight="1">
      <c r="C243" s="1"/>
      <c r="D243" s="2"/>
      <c r="E243" s="2"/>
    </row>
    <row r="244" ht="15.75" customHeight="1">
      <c r="C244" s="1"/>
      <c r="D244" s="2"/>
      <c r="E244" s="2"/>
    </row>
    <row r="245" ht="15.75" customHeight="1">
      <c r="C245" s="1"/>
      <c r="D245" s="2"/>
      <c r="E245" s="2"/>
    </row>
    <row r="246" ht="15.75" customHeight="1">
      <c r="C246" s="1"/>
      <c r="D246" s="2"/>
      <c r="E246" s="2"/>
    </row>
    <row r="247" ht="15.75" customHeight="1">
      <c r="C247" s="1"/>
      <c r="D247" s="2"/>
      <c r="E247" s="2"/>
    </row>
    <row r="248" ht="15.75" customHeight="1">
      <c r="C248" s="1"/>
      <c r="D248" s="2"/>
      <c r="E248" s="2"/>
    </row>
    <row r="249" ht="15.75" customHeight="1">
      <c r="C249" s="1"/>
      <c r="D249" s="2"/>
      <c r="E249" s="2"/>
    </row>
    <row r="250" ht="15.75" customHeight="1">
      <c r="C250" s="1"/>
      <c r="D250" s="2"/>
      <c r="E250" s="2"/>
    </row>
    <row r="251" ht="15.75" customHeight="1">
      <c r="C251" s="1"/>
      <c r="D251" s="2"/>
      <c r="E251" s="2"/>
    </row>
    <row r="252" ht="15.75" customHeight="1">
      <c r="C252" s="1"/>
      <c r="D252" s="2"/>
      <c r="E252" s="2"/>
    </row>
    <row r="253" ht="15.75" customHeight="1">
      <c r="C253" s="1"/>
      <c r="D253" s="2"/>
      <c r="E253" s="2"/>
    </row>
    <row r="254" ht="15.75" customHeight="1">
      <c r="C254" s="1"/>
      <c r="D254" s="2"/>
      <c r="E254" s="2"/>
    </row>
    <row r="255" ht="15.75" customHeight="1">
      <c r="C255" s="1"/>
      <c r="D255" s="2"/>
      <c r="E255" s="2"/>
    </row>
    <row r="256" ht="15.75" customHeight="1">
      <c r="C256" s="1"/>
      <c r="D256" s="2"/>
      <c r="E256" s="2"/>
    </row>
    <row r="257" ht="15.75" customHeight="1">
      <c r="C257" s="1"/>
      <c r="D257" s="2"/>
      <c r="E257" s="2"/>
    </row>
    <row r="258" ht="15.75" customHeight="1">
      <c r="C258" s="1"/>
      <c r="D258" s="2"/>
      <c r="E258" s="2"/>
    </row>
    <row r="259" ht="15.75" customHeight="1">
      <c r="C259" s="1"/>
      <c r="D259" s="2"/>
      <c r="E259" s="2"/>
    </row>
    <row r="260" ht="15.75" customHeight="1">
      <c r="C260" s="1"/>
      <c r="D260" s="2"/>
      <c r="E260" s="2"/>
    </row>
    <row r="261" ht="15.75" customHeight="1">
      <c r="C261" s="1"/>
      <c r="D261" s="2"/>
      <c r="E261" s="2"/>
    </row>
    <row r="262" ht="15.75" customHeight="1">
      <c r="C262" s="1"/>
      <c r="D262" s="2"/>
      <c r="E262" s="2"/>
    </row>
    <row r="263" ht="15.75" customHeight="1">
      <c r="C263" s="1"/>
      <c r="D263" s="2"/>
      <c r="E263" s="2"/>
    </row>
    <row r="264" ht="15.75" customHeight="1">
      <c r="C264" s="1"/>
      <c r="D264" s="2"/>
      <c r="E264" s="2"/>
    </row>
    <row r="265" ht="15.75" customHeight="1">
      <c r="C265" s="1"/>
      <c r="D265" s="2"/>
      <c r="E265" s="2"/>
    </row>
    <row r="266" ht="15.75" customHeight="1">
      <c r="C266" s="1"/>
      <c r="D266" s="2"/>
      <c r="E266" s="2"/>
    </row>
    <row r="267" ht="15.75" customHeight="1">
      <c r="C267" s="1"/>
      <c r="D267" s="2"/>
      <c r="E267" s="2"/>
    </row>
    <row r="268" ht="15.75" customHeight="1">
      <c r="C268" s="1"/>
      <c r="D268" s="2"/>
      <c r="E268" s="2"/>
    </row>
    <row r="269" ht="15.75" customHeight="1">
      <c r="C269" s="1"/>
      <c r="D269" s="2"/>
      <c r="E269" s="2"/>
    </row>
    <row r="270" ht="15.75" customHeight="1">
      <c r="C270" s="1"/>
      <c r="D270" s="2"/>
      <c r="E270" s="2"/>
    </row>
    <row r="271" ht="15.75" customHeight="1">
      <c r="C271" s="1"/>
      <c r="D271" s="2"/>
      <c r="E271" s="2"/>
    </row>
    <row r="272" ht="15.75" customHeight="1">
      <c r="C272" s="1"/>
      <c r="D272" s="2"/>
      <c r="E272" s="2"/>
    </row>
    <row r="273" ht="15.75" customHeight="1">
      <c r="C273" s="1"/>
      <c r="D273" s="2"/>
      <c r="E273" s="2"/>
    </row>
    <row r="274" ht="15.75" customHeight="1">
      <c r="C274" s="1"/>
      <c r="D274" s="2"/>
      <c r="E274" s="2"/>
    </row>
    <row r="275" ht="15.75" customHeight="1">
      <c r="C275" s="1"/>
      <c r="D275" s="2"/>
      <c r="E275" s="2"/>
    </row>
    <row r="276" ht="15.75" customHeight="1">
      <c r="C276" s="1"/>
      <c r="D276" s="2"/>
      <c r="E276" s="2"/>
    </row>
    <row r="277" ht="15.75" customHeight="1">
      <c r="C277" s="1"/>
      <c r="D277" s="2"/>
      <c r="E277" s="2"/>
    </row>
    <row r="278" ht="15.75" customHeight="1">
      <c r="C278" s="1"/>
      <c r="D278" s="2"/>
      <c r="E278" s="2"/>
    </row>
    <row r="279" ht="15.75" customHeight="1">
      <c r="C279" s="1"/>
      <c r="D279" s="2"/>
      <c r="E279" s="2"/>
    </row>
    <row r="280" ht="15.75" customHeight="1">
      <c r="C280" s="1"/>
      <c r="D280" s="2"/>
      <c r="E280" s="2"/>
    </row>
    <row r="281" ht="15.75" customHeight="1">
      <c r="C281" s="1"/>
      <c r="D281" s="2"/>
      <c r="E281" s="2"/>
    </row>
    <row r="282" ht="15.75" customHeight="1">
      <c r="C282" s="1"/>
      <c r="D282" s="2"/>
      <c r="E282" s="2"/>
    </row>
    <row r="283" ht="15.75" customHeight="1">
      <c r="C283" s="1"/>
      <c r="D283" s="2"/>
      <c r="E283" s="2"/>
    </row>
    <row r="284" ht="15.75" customHeight="1">
      <c r="C284" s="1"/>
      <c r="D284" s="2"/>
      <c r="E284" s="2"/>
    </row>
    <row r="285" ht="15.75" customHeight="1">
      <c r="C285" s="1"/>
      <c r="D285" s="2"/>
      <c r="E285" s="2"/>
    </row>
    <row r="286" ht="15.75" customHeight="1">
      <c r="C286" s="1"/>
      <c r="D286" s="2"/>
      <c r="E286" s="2"/>
    </row>
    <row r="287" ht="15.75" customHeight="1">
      <c r="C287" s="1"/>
      <c r="D287" s="2"/>
      <c r="E287" s="2"/>
    </row>
    <row r="288" ht="15.75" customHeight="1">
      <c r="C288" s="1"/>
      <c r="D288" s="2"/>
      <c r="E288" s="2"/>
    </row>
    <row r="289" ht="15.75" customHeight="1">
      <c r="C289" s="1"/>
      <c r="D289" s="2"/>
      <c r="E289" s="2"/>
    </row>
    <row r="290" ht="15.75" customHeight="1">
      <c r="C290" s="1"/>
      <c r="D290" s="2"/>
      <c r="E290" s="2"/>
    </row>
    <row r="291" ht="15.75" customHeight="1">
      <c r="C291" s="1"/>
      <c r="D291" s="2"/>
      <c r="E291" s="2"/>
    </row>
    <row r="292" ht="15.75" customHeight="1">
      <c r="C292" s="1"/>
      <c r="D292" s="2"/>
      <c r="E292" s="2"/>
    </row>
    <row r="293" ht="15.75" customHeight="1">
      <c r="C293" s="1"/>
      <c r="D293" s="2"/>
      <c r="E293" s="2"/>
    </row>
    <row r="294" ht="15.75" customHeight="1">
      <c r="C294" s="1"/>
      <c r="D294" s="2"/>
      <c r="E294" s="2"/>
    </row>
    <row r="295" ht="15.75" customHeight="1">
      <c r="C295" s="1"/>
      <c r="D295" s="2"/>
      <c r="E295" s="2"/>
    </row>
    <row r="296" ht="15.75" customHeight="1">
      <c r="C296" s="1"/>
      <c r="D296" s="2"/>
      <c r="E296" s="2"/>
    </row>
    <row r="297" ht="15.75" customHeight="1">
      <c r="C297" s="1"/>
      <c r="D297" s="2"/>
      <c r="E297" s="2"/>
    </row>
    <row r="298" ht="15.75" customHeight="1">
      <c r="C298" s="1"/>
      <c r="D298" s="2"/>
      <c r="E298" s="2"/>
    </row>
    <row r="299" ht="15.75" customHeight="1">
      <c r="C299" s="1"/>
      <c r="D299" s="2"/>
      <c r="E299" s="2"/>
    </row>
    <row r="300" ht="15.75" customHeight="1">
      <c r="C300" s="1"/>
      <c r="D300" s="2"/>
      <c r="E300" s="2"/>
    </row>
    <row r="301" ht="15.75" customHeight="1">
      <c r="C301" s="1"/>
      <c r="D301" s="2"/>
      <c r="E301" s="2"/>
    </row>
    <row r="302" ht="15.75" customHeight="1">
      <c r="C302" s="1"/>
      <c r="D302" s="2"/>
      <c r="E302" s="2"/>
    </row>
    <row r="303" ht="15.75" customHeight="1">
      <c r="C303" s="1"/>
      <c r="D303" s="2"/>
      <c r="E303" s="2"/>
    </row>
    <row r="304" ht="15.75" customHeight="1">
      <c r="C304" s="1"/>
      <c r="D304" s="2"/>
      <c r="E304" s="2"/>
    </row>
    <row r="305" ht="15.75" customHeight="1">
      <c r="C305" s="1"/>
      <c r="D305" s="2"/>
      <c r="E305" s="2"/>
    </row>
    <row r="306" ht="15.75" customHeight="1">
      <c r="C306" s="1"/>
      <c r="D306" s="2"/>
      <c r="E306" s="2"/>
    </row>
    <row r="307" ht="15.75" customHeight="1">
      <c r="C307" s="1"/>
      <c r="D307" s="2"/>
      <c r="E307" s="2"/>
    </row>
    <row r="308" ht="15.75" customHeight="1">
      <c r="C308" s="1"/>
      <c r="D308" s="2"/>
      <c r="E308" s="2"/>
    </row>
    <row r="309" ht="15.75" customHeight="1">
      <c r="C309" s="1"/>
      <c r="D309" s="2"/>
      <c r="E309" s="2"/>
    </row>
    <row r="310" ht="15.75" customHeight="1">
      <c r="C310" s="1"/>
      <c r="D310" s="2"/>
      <c r="E310" s="2"/>
    </row>
    <row r="311" ht="15.75" customHeight="1">
      <c r="C311" s="1"/>
      <c r="D311" s="2"/>
      <c r="E311" s="2"/>
    </row>
    <row r="312" ht="15.75" customHeight="1">
      <c r="C312" s="1"/>
      <c r="D312" s="2"/>
      <c r="E312" s="2"/>
    </row>
    <row r="313" ht="15.75" customHeight="1">
      <c r="C313" s="1"/>
      <c r="D313" s="2"/>
      <c r="E313" s="2"/>
    </row>
    <row r="314" ht="15.75" customHeight="1">
      <c r="C314" s="1"/>
      <c r="D314" s="2"/>
      <c r="E314" s="2"/>
    </row>
    <row r="315" ht="15.75" customHeight="1">
      <c r="C315" s="1"/>
      <c r="D315" s="2"/>
      <c r="E315" s="2"/>
    </row>
    <row r="316" ht="15.75" customHeight="1">
      <c r="C316" s="1"/>
      <c r="D316" s="2"/>
      <c r="E316" s="2"/>
    </row>
    <row r="317" ht="15.75" customHeight="1">
      <c r="C317" s="1"/>
      <c r="D317" s="2"/>
      <c r="E317" s="2"/>
    </row>
    <row r="318" ht="15.75" customHeight="1">
      <c r="C318" s="1"/>
      <c r="D318" s="2"/>
      <c r="E318" s="2"/>
    </row>
    <row r="319" ht="15.75" customHeight="1">
      <c r="C319" s="1"/>
      <c r="D319" s="2"/>
      <c r="E319" s="2"/>
    </row>
    <row r="320" ht="15.75" customHeight="1">
      <c r="C320" s="1"/>
      <c r="D320" s="2"/>
      <c r="E320" s="2"/>
    </row>
    <row r="321" ht="15.75" customHeight="1">
      <c r="C321" s="1"/>
      <c r="D321" s="2"/>
      <c r="E321" s="2"/>
    </row>
    <row r="322" ht="15.75" customHeight="1">
      <c r="C322" s="1"/>
      <c r="D322" s="2"/>
      <c r="E322" s="2"/>
    </row>
    <row r="323" ht="15.75" customHeight="1">
      <c r="C323" s="1"/>
      <c r="D323" s="2"/>
      <c r="E323" s="2"/>
    </row>
    <row r="324" ht="15.75" customHeight="1">
      <c r="C324" s="1"/>
      <c r="D324" s="2"/>
      <c r="E324" s="2"/>
    </row>
    <row r="325" ht="15.75" customHeight="1">
      <c r="C325" s="1"/>
      <c r="D325" s="2"/>
      <c r="E325" s="2"/>
    </row>
    <row r="326" ht="15.75" customHeight="1">
      <c r="C326" s="1"/>
      <c r="D326" s="2"/>
      <c r="E326" s="2"/>
    </row>
    <row r="327" ht="15.75" customHeight="1">
      <c r="C327" s="1"/>
      <c r="D327" s="2"/>
      <c r="E327" s="2"/>
    </row>
    <row r="328" ht="15.75" customHeight="1">
      <c r="C328" s="1"/>
      <c r="D328" s="2"/>
      <c r="E328" s="2"/>
    </row>
    <row r="329" ht="15.75" customHeight="1">
      <c r="C329" s="1"/>
      <c r="D329" s="2"/>
      <c r="E329" s="2"/>
    </row>
    <row r="330" ht="15.75" customHeight="1">
      <c r="C330" s="1"/>
      <c r="D330" s="2"/>
      <c r="E330" s="2"/>
    </row>
    <row r="331" ht="15.75" customHeight="1">
      <c r="C331" s="1"/>
      <c r="D331" s="2"/>
      <c r="E331" s="2"/>
    </row>
    <row r="332" ht="15.75" customHeight="1">
      <c r="C332" s="1"/>
      <c r="D332" s="2"/>
      <c r="E332" s="2"/>
    </row>
    <row r="333" ht="15.75" customHeight="1">
      <c r="C333" s="1"/>
      <c r="D333" s="2"/>
      <c r="E333" s="2"/>
    </row>
    <row r="334" ht="15.75" customHeight="1">
      <c r="C334" s="1"/>
      <c r="D334" s="2"/>
      <c r="E334" s="2"/>
    </row>
    <row r="335" ht="15.75" customHeight="1">
      <c r="C335" s="1"/>
      <c r="D335" s="2"/>
      <c r="E335" s="2"/>
    </row>
    <row r="336" ht="15.75" customHeight="1">
      <c r="C336" s="1"/>
      <c r="D336" s="2"/>
      <c r="E336" s="2"/>
    </row>
    <row r="337" ht="15.75" customHeight="1">
      <c r="C337" s="1"/>
      <c r="D337" s="2"/>
      <c r="E337" s="2"/>
    </row>
    <row r="338" ht="15.75" customHeight="1">
      <c r="C338" s="1"/>
      <c r="D338" s="2"/>
      <c r="E338" s="2"/>
    </row>
    <row r="339" ht="15.75" customHeight="1">
      <c r="C339" s="1"/>
      <c r="D339" s="2"/>
      <c r="E339" s="2"/>
    </row>
    <row r="340" ht="15.75" customHeight="1">
      <c r="C340" s="1"/>
      <c r="D340" s="2"/>
      <c r="E340" s="2"/>
    </row>
    <row r="341" ht="15.75" customHeight="1">
      <c r="C341" s="1"/>
      <c r="D341" s="2"/>
      <c r="E341" s="2"/>
    </row>
    <row r="342" ht="15.75" customHeight="1">
      <c r="C342" s="1"/>
      <c r="D342" s="2"/>
      <c r="E342" s="2"/>
    </row>
    <row r="343" ht="15.75" customHeight="1">
      <c r="C343" s="1"/>
      <c r="D343" s="2"/>
      <c r="E343" s="2"/>
    </row>
    <row r="344" ht="15.75" customHeight="1">
      <c r="C344" s="1"/>
      <c r="D344" s="2"/>
      <c r="E344" s="2"/>
    </row>
    <row r="345" ht="15.75" customHeight="1">
      <c r="C345" s="1"/>
      <c r="D345" s="2"/>
      <c r="E345" s="2"/>
    </row>
    <row r="346" ht="15.75" customHeight="1">
      <c r="C346" s="1"/>
      <c r="D346" s="2"/>
      <c r="E346" s="2"/>
    </row>
    <row r="347" ht="15.75" customHeight="1">
      <c r="C347" s="1"/>
      <c r="D347" s="2"/>
      <c r="E347" s="2"/>
    </row>
    <row r="348" ht="15.75" customHeight="1">
      <c r="C348" s="1"/>
      <c r="D348" s="2"/>
      <c r="E348" s="2"/>
    </row>
    <row r="349" ht="15.75" customHeight="1">
      <c r="C349" s="1"/>
      <c r="D349" s="2"/>
      <c r="E349" s="2"/>
    </row>
    <row r="350" ht="15.75" customHeight="1">
      <c r="C350" s="1"/>
      <c r="D350" s="2"/>
      <c r="E350" s="2"/>
    </row>
    <row r="351" ht="15.75" customHeight="1">
      <c r="C351" s="1"/>
      <c r="D351" s="2"/>
      <c r="E351" s="2"/>
    </row>
    <row r="352" ht="15.75" customHeight="1">
      <c r="C352" s="1"/>
      <c r="D352" s="2"/>
      <c r="E352" s="2"/>
    </row>
    <row r="353" ht="15.75" customHeight="1">
      <c r="C353" s="1"/>
      <c r="D353" s="2"/>
      <c r="E353" s="2"/>
    </row>
    <row r="354" ht="15.75" customHeight="1">
      <c r="C354" s="1"/>
      <c r="D354" s="2"/>
      <c r="E354" s="2"/>
    </row>
    <row r="355" ht="15.75" customHeight="1">
      <c r="C355" s="1"/>
      <c r="D355" s="2"/>
      <c r="E355" s="2"/>
    </row>
    <row r="356" ht="15.75" customHeight="1">
      <c r="C356" s="1"/>
      <c r="D356" s="2"/>
      <c r="E356" s="2"/>
    </row>
    <row r="357" ht="15.75" customHeight="1">
      <c r="C357" s="1"/>
      <c r="D357" s="2"/>
      <c r="E357" s="2"/>
    </row>
    <row r="358" ht="15.75" customHeight="1">
      <c r="C358" s="1"/>
      <c r="D358" s="2"/>
      <c r="E358" s="2"/>
    </row>
    <row r="359" ht="15.75" customHeight="1">
      <c r="C359" s="1"/>
      <c r="D359" s="2"/>
      <c r="E359" s="2"/>
    </row>
    <row r="360" ht="15.75" customHeight="1">
      <c r="C360" s="1"/>
      <c r="D360" s="2"/>
      <c r="E360" s="2"/>
    </row>
    <row r="361" ht="15.75" customHeight="1">
      <c r="C361" s="1"/>
      <c r="D361" s="2"/>
      <c r="E361" s="2"/>
    </row>
    <row r="362" ht="15.75" customHeight="1">
      <c r="C362" s="1"/>
      <c r="D362" s="2"/>
      <c r="E362" s="2"/>
    </row>
    <row r="363" ht="15.75" customHeight="1">
      <c r="C363" s="1"/>
      <c r="D363" s="2"/>
      <c r="E363" s="2"/>
    </row>
    <row r="364" ht="15.75" customHeight="1">
      <c r="C364" s="1"/>
      <c r="D364" s="2"/>
      <c r="E364" s="2"/>
    </row>
    <row r="365" ht="15.75" customHeight="1">
      <c r="C365" s="1"/>
      <c r="D365" s="2"/>
      <c r="E365" s="2"/>
    </row>
    <row r="366" ht="15.75" customHeight="1">
      <c r="C366" s="1"/>
      <c r="D366" s="2"/>
      <c r="E366" s="2"/>
    </row>
    <row r="367" ht="15.75" customHeight="1">
      <c r="C367" s="1"/>
      <c r="D367" s="2"/>
      <c r="E367" s="2"/>
    </row>
    <row r="368" ht="15.75" customHeight="1">
      <c r="C368" s="1"/>
      <c r="D368" s="2"/>
      <c r="E368" s="2"/>
    </row>
    <row r="369" ht="15.75" customHeight="1">
      <c r="C369" s="1"/>
      <c r="D369" s="2"/>
      <c r="E369" s="2"/>
    </row>
    <row r="370" ht="15.75" customHeight="1">
      <c r="C370" s="1"/>
      <c r="D370" s="2"/>
      <c r="E370" s="2"/>
    </row>
    <row r="371" ht="15.75" customHeight="1">
      <c r="C371" s="1"/>
      <c r="D371" s="2"/>
      <c r="E371" s="2"/>
    </row>
    <row r="372" ht="15.75" customHeight="1">
      <c r="C372" s="1"/>
      <c r="D372" s="2"/>
      <c r="E372" s="2"/>
    </row>
    <row r="373" ht="15.75" customHeight="1">
      <c r="C373" s="1"/>
      <c r="D373" s="2"/>
      <c r="E373" s="2"/>
    </row>
    <row r="374" ht="15.75" customHeight="1">
      <c r="C374" s="1"/>
      <c r="D374" s="2"/>
      <c r="E374" s="2"/>
    </row>
    <row r="375" ht="15.75" customHeight="1">
      <c r="C375" s="1"/>
      <c r="D375" s="2"/>
      <c r="E375" s="2"/>
    </row>
    <row r="376" ht="15.75" customHeight="1">
      <c r="C376" s="1"/>
      <c r="D376" s="2"/>
      <c r="E376" s="2"/>
    </row>
    <row r="377" ht="15.75" customHeight="1">
      <c r="C377" s="1"/>
      <c r="D377" s="2"/>
      <c r="E377" s="2"/>
    </row>
    <row r="378" ht="15.75" customHeight="1">
      <c r="C378" s="1"/>
      <c r="D378" s="2"/>
      <c r="E378" s="2"/>
    </row>
    <row r="379" ht="15.75" customHeight="1">
      <c r="C379" s="1"/>
      <c r="D379" s="2"/>
      <c r="E379" s="2"/>
    </row>
    <row r="380" ht="15.75" customHeight="1">
      <c r="C380" s="1"/>
      <c r="D380" s="2"/>
      <c r="E380" s="2"/>
    </row>
    <row r="381" ht="15.75" customHeight="1">
      <c r="C381" s="1"/>
      <c r="D381" s="2"/>
      <c r="E381" s="2"/>
    </row>
    <row r="382" ht="15.75" customHeight="1">
      <c r="C382" s="1"/>
      <c r="D382" s="2"/>
      <c r="E382" s="2"/>
    </row>
    <row r="383" ht="15.75" customHeight="1">
      <c r="C383" s="1"/>
      <c r="D383" s="2"/>
      <c r="E383" s="2"/>
    </row>
    <row r="384" ht="15.75" customHeight="1">
      <c r="C384" s="1"/>
      <c r="D384" s="2"/>
      <c r="E384" s="2"/>
    </row>
    <row r="385" ht="15.75" customHeight="1">
      <c r="C385" s="1"/>
      <c r="D385" s="2"/>
      <c r="E385" s="2"/>
    </row>
    <row r="386" ht="15.75" customHeight="1">
      <c r="C386" s="1"/>
      <c r="D386" s="2"/>
      <c r="E386" s="2"/>
    </row>
    <row r="387" ht="15.75" customHeight="1">
      <c r="C387" s="1"/>
      <c r="D387" s="2"/>
      <c r="E387" s="2"/>
    </row>
    <row r="388" ht="15.75" customHeight="1">
      <c r="C388" s="1"/>
      <c r="D388" s="2"/>
      <c r="E388" s="2"/>
    </row>
    <row r="389" ht="15.75" customHeight="1">
      <c r="C389" s="1"/>
      <c r="D389" s="2"/>
      <c r="E389" s="2"/>
    </row>
    <row r="390" ht="15.75" customHeight="1">
      <c r="C390" s="1"/>
      <c r="D390" s="2"/>
      <c r="E390" s="2"/>
    </row>
    <row r="391" ht="15.75" customHeight="1">
      <c r="C391" s="1"/>
      <c r="D391" s="2"/>
      <c r="E391" s="2"/>
    </row>
    <row r="392" ht="15.75" customHeight="1">
      <c r="C392" s="1"/>
      <c r="D392" s="2"/>
      <c r="E392" s="2"/>
    </row>
    <row r="393" ht="15.75" customHeight="1">
      <c r="C393" s="1"/>
      <c r="D393" s="2"/>
      <c r="E393" s="2"/>
    </row>
    <row r="394" ht="15.75" customHeight="1">
      <c r="C394" s="1"/>
      <c r="D394" s="2"/>
      <c r="E394" s="2"/>
    </row>
    <row r="395" ht="15.75" customHeight="1">
      <c r="C395" s="1"/>
      <c r="D395" s="2"/>
      <c r="E395" s="2"/>
    </row>
    <row r="396" ht="15.75" customHeight="1">
      <c r="C396" s="1"/>
      <c r="D396" s="2"/>
      <c r="E396" s="2"/>
    </row>
    <row r="397" ht="15.75" customHeight="1">
      <c r="C397" s="1"/>
      <c r="D397" s="2"/>
      <c r="E397" s="2"/>
    </row>
    <row r="398" ht="15.75" customHeight="1">
      <c r="C398" s="1"/>
      <c r="D398" s="2"/>
      <c r="E398" s="2"/>
    </row>
    <row r="399" ht="15.75" customHeight="1">
      <c r="C399" s="1"/>
      <c r="D399" s="2"/>
      <c r="E399" s="2"/>
    </row>
    <row r="400" ht="15.75" customHeight="1">
      <c r="C400" s="1"/>
      <c r="D400" s="2"/>
      <c r="E400" s="2"/>
    </row>
    <row r="401" ht="15.75" customHeight="1">
      <c r="C401" s="1"/>
      <c r="D401" s="2"/>
      <c r="E401" s="2"/>
    </row>
    <row r="402" ht="15.75" customHeight="1">
      <c r="C402" s="1"/>
      <c r="D402" s="2"/>
      <c r="E402" s="2"/>
    </row>
    <row r="403" ht="15.75" customHeight="1">
      <c r="C403" s="1"/>
      <c r="D403" s="2"/>
      <c r="E403" s="2"/>
    </row>
    <row r="404" ht="15.75" customHeight="1">
      <c r="C404" s="1"/>
      <c r="D404" s="2"/>
      <c r="E404" s="2"/>
    </row>
    <row r="405" ht="15.75" customHeight="1">
      <c r="C405" s="1"/>
      <c r="D405" s="2"/>
      <c r="E405" s="2"/>
    </row>
    <row r="406" ht="15.75" customHeight="1">
      <c r="C406" s="1"/>
      <c r="D406" s="2"/>
      <c r="E406" s="2"/>
    </row>
    <row r="407" ht="15.75" customHeight="1">
      <c r="C407" s="1"/>
      <c r="D407" s="2"/>
      <c r="E407" s="2"/>
    </row>
    <row r="408" ht="15.75" customHeight="1">
      <c r="C408" s="1"/>
      <c r="D408" s="2"/>
      <c r="E408" s="2"/>
    </row>
    <row r="409" ht="15.75" customHeight="1">
      <c r="C409" s="1"/>
      <c r="D409" s="2"/>
      <c r="E409" s="2"/>
    </row>
    <row r="410" ht="15.75" customHeight="1">
      <c r="C410" s="1"/>
      <c r="D410" s="2"/>
      <c r="E410" s="2"/>
    </row>
    <row r="411" ht="15.75" customHeight="1">
      <c r="C411" s="1"/>
      <c r="D411" s="2"/>
      <c r="E411" s="2"/>
    </row>
    <row r="412" ht="15.75" customHeight="1">
      <c r="C412" s="1"/>
      <c r="D412" s="2"/>
      <c r="E412" s="2"/>
    </row>
    <row r="413" ht="15.75" customHeight="1">
      <c r="C413" s="1"/>
      <c r="D413" s="2"/>
      <c r="E413" s="2"/>
    </row>
    <row r="414" ht="15.75" customHeight="1">
      <c r="C414" s="1"/>
      <c r="D414" s="2"/>
      <c r="E414" s="2"/>
    </row>
    <row r="415" ht="15.75" customHeight="1">
      <c r="C415" s="1"/>
      <c r="D415" s="2"/>
      <c r="E415" s="2"/>
    </row>
    <row r="416" ht="15.75" customHeight="1">
      <c r="C416" s="1"/>
      <c r="D416" s="2"/>
      <c r="E416" s="2"/>
    </row>
    <row r="417" ht="15.75" customHeight="1">
      <c r="C417" s="1"/>
      <c r="D417" s="2"/>
      <c r="E417" s="2"/>
    </row>
    <row r="418" ht="15.75" customHeight="1">
      <c r="C418" s="1"/>
      <c r="D418" s="2"/>
      <c r="E418" s="2"/>
    </row>
    <row r="419" ht="15.75" customHeight="1">
      <c r="C419" s="1"/>
      <c r="D419" s="2"/>
      <c r="E419" s="2"/>
    </row>
    <row r="420" ht="15.75" customHeight="1">
      <c r="C420" s="1"/>
      <c r="D420" s="2"/>
      <c r="E420" s="2"/>
    </row>
    <row r="421" ht="15.75" customHeight="1">
      <c r="C421" s="1"/>
      <c r="D421" s="2"/>
      <c r="E421" s="2"/>
    </row>
    <row r="422" ht="15.75" customHeight="1">
      <c r="C422" s="1"/>
      <c r="D422" s="2"/>
      <c r="E422" s="2"/>
    </row>
    <row r="423" ht="15.75" customHeight="1">
      <c r="C423" s="1"/>
      <c r="D423" s="2"/>
      <c r="E423" s="2"/>
    </row>
    <row r="424" ht="15.75" customHeight="1">
      <c r="C424" s="1"/>
      <c r="D424" s="2"/>
      <c r="E424" s="2"/>
    </row>
    <row r="425" ht="15.75" customHeight="1">
      <c r="C425" s="1"/>
      <c r="D425" s="2"/>
      <c r="E425" s="2"/>
    </row>
    <row r="426" ht="15.75" customHeight="1">
      <c r="C426" s="1"/>
      <c r="D426" s="2"/>
      <c r="E426" s="2"/>
    </row>
    <row r="427" ht="15.75" customHeight="1">
      <c r="C427" s="1"/>
      <c r="D427" s="2"/>
      <c r="E427" s="2"/>
    </row>
    <row r="428" ht="15.75" customHeight="1">
      <c r="C428" s="1"/>
      <c r="D428" s="2"/>
      <c r="E428" s="2"/>
    </row>
    <row r="429" ht="15.75" customHeight="1">
      <c r="C429" s="1"/>
      <c r="D429" s="2"/>
      <c r="E429" s="2"/>
    </row>
    <row r="430" ht="15.75" customHeight="1">
      <c r="C430" s="1"/>
      <c r="D430" s="2"/>
      <c r="E430" s="2"/>
    </row>
    <row r="431" ht="15.75" customHeight="1">
      <c r="C431" s="1"/>
      <c r="D431" s="2"/>
      <c r="E431" s="2"/>
    </row>
    <row r="432" ht="15.75" customHeight="1">
      <c r="C432" s="1"/>
      <c r="D432" s="2"/>
      <c r="E432" s="2"/>
    </row>
    <row r="433" ht="15.75" customHeight="1">
      <c r="C433" s="1"/>
      <c r="D433" s="2"/>
      <c r="E433" s="2"/>
    </row>
    <row r="434" ht="15.75" customHeight="1">
      <c r="C434" s="1"/>
      <c r="D434" s="2"/>
      <c r="E434" s="2"/>
    </row>
    <row r="435" ht="15.75" customHeight="1">
      <c r="C435" s="1"/>
      <c r="D435" s="2"/>
      <c r="E435" s="2"/>
    </row>
    <row r="436" ht="15.75" customHeight="1">
      <c r="C436" s="1"/>
      <c r="D436" s="2"/>
      <c r="E436" s="2"/>
    </row>
    <row r="437" ht="15.75" customHeight="1">
      <c r="C437" s="1"/>
      <c r="D437" s="2"/>
      <c r="E437" s="2"/>
    </row>
    <row r="438" ht="15.75" customHeight="1">
      <c r="C438" s="1"/>
      <c r="D438" s="2"/>
      <c r="E438" s="2"/>
    </row>
    <row r="439" ht="15.75" customHeight="1">
      <c r="C439" s="1"/>
      <c r="D439" s="2"/>
      <c r="E439" s="2"/>
    </row>
    <row r="440" ht="15.75" customHeight="1">
      <c r="C440" s="1"/>
      <c r="D440" s="2"/>
      <c r="E440" s="2"/>
    </row>
    <row r="441" ht="15.75" customHeight="1">
      <c r="C441" s="1"/>
      <c r="D441" s="2"/>
      <c r="E441" s="2"/>
    </row>
    <row r="442" ht="15.75" customHeight="1">
      <c r="C442" s="1"/>
      <c r="D442" s="2"/>
      <c r="E442" s="2"/>
    </row>
    <row r="443" ht="15.75" customHeight="1">
      <c r="C443" s="1"/>
      <c r="D443" s="2"/>
      <c r="E443" s="2"/>
    </row>
    <row r="444" ht="15.75" customHeight="1">
      <c r="C444" s="1"/>
      <c r="D444" s="2"/>
      <c r="E444" s="2"/>
    </row>
    <row r="445" ht="15.75" customHeight="1">
      <c r="C445" s="1"/>
      <c r="D445" s="2"/>
      <c r="E445" s="2"/>
    </row>
    <row r="446" ht="15.75" customHeight="1">
      <c r="C446" s="1"/>
      <c r="D446" s="2"/>
      <c r="E446" s="2"/>
    </row>
    <row r="447" ht="15.75" customHeight="1">
      <c r="C447" s="1"/>
      <c r="D447" s="2"/>
      <c r="E447" s="2"/>
    </row>
    <row r="448" ht="15.75" customHeight="1">
      <c r="C448" s="1"/>
      <c r="D448" s="2"/>
      <c r="E448" s="2"/>
    </row>
    <row r="449" ht="15.75" customHeight="1">
      <c r="C449" s="1"/>
      <c r="D449" s="2"/>
      <c r="E449" s="2"/>
    </row>
    <row r="450" ht="15.75" customHeight="1">
      <c r="C450" s="1"/>
      <c r="D450" s="2"/>
      <c r="E450" s="2"/>
    </row>
    <row r="451" ht="15.75" customHeight="1">
      <c r="C451" s="1"/>
      <c r="D451" s="2"/>
      <c r="E451" s="2"/>
    </row>
    <row r="452" ht="15.75" customHeight="1">
      <c r="C452" s="1"/>
      <c r="D452" s="2"/>
      <c r="E452" s="2"/>
    </row>
    <row r="453" ht="15.75" customHeight="1">
      <c r="C453" s="1"/>
      <c r="D453" s="2"/>
      <c r="E453" s="2"/>
    </row>
    <row r="454" ht="15.75" customHeight="1">
      <c r="C454" s="1"/>
      <c r="D454" s="2"/>
      <c r="E454" s="2"/>
    </row>
    <row r="455" ht="15.75" customHeight="1">
      <c r="C455" s="1"/>
      <c r="D455" s="2"/>
      <c r="E455" s="2"/>
    </row>
    <row r="456" ht="15.75" customHeight="1">
      <c r="C456" s="1"/>
      <c r="D456" s="2"/>
      <c r="E456" s="2"/>
    </row>
    <row r="457" ht="15.75" customHeight="1">
      <c r="C457" s="1"/>
      <c r="D457" s="2"/>
      <c r="E457" s="2"/>
    </row>
    <row r="458" ht="15.75" customHeight="1">
      <c r="C458" s="1"/>
      <c r="D458" s="2"/>
      <c r="E458" s="2"/>
    </row>
    <row r="459" ht="15.75" customHeight="1">
      <c r="C459" s="1"/>
      <c r="D459" s="2"/>
      <c r="E459" s="2"/>
    </row>
    <row r="460" ht="15.75" customHeight="1">
      <c r="C460" s="1"/>
      <c r="D460" s="2"/>
      <c r="E460" s="2"/>
    </row>
    <row r="461" ht="15.75" customHeight="1">
      <c r="C461" s="1"/>
      <c r="D461" s="2"/>
      <c r="E461" s="2"/>
    </row>
    <row r="462" ht="15.75" customHeight="1">
      <c r="C462" s="1"/>
      <c r="D462" s="2"/>
      <c r="E462" s="2"/>
    </row>
    <row r="463" ht="15.75" customHeight="1">
      <c r="C463" s="1"/>
      <c r="D463" s="2"/>
      <c r="E463" s="2"/>
    </row>
    <row r="464" ht="15.75" customHeight="1">
      <c r="C464" s="1"/>
      <c r="D464" s="2"/>
      <c r="E464" s="2"/>
    </row>
    <row r="465" ht="15.75" customHeight="1">
      <c r="C465" s="1"/>
      <c r="D465" s="2"/>
      <c r="E465" s="2"/>
    </row>
    <row r="466" ht="15.75" customHeight="1">
      <c r="C466" s="1"/>
      <c r="D466" s="2"/>
      <c r="E466" s="2"/>
    </row>
    <row r="467" ht="15.75" customHeight="1">
      <c r="C467" s="1"/>
      <c r="D467" s="2"/>
      <c r="E467" s="2"/>
    </row>
    <row r="468" ht="15.75" customHeight="1">
      <c r="C468" s="1"/>
      <c r="D468" s="2"/>
      <c r="E468" s="2"/>
    </row>
    <row r="469" ht="15.75" customHeight="1">
      <c r="C469" s="1"/>
      <c r="D469" s="2"/>
      <c r="E469" s="2"/>
    </row>
    <row r="470" ht="15.75" customHeight="1">
      <c r="C470" s="1"/>
      <c r="D470" s="2"/>
      <c r="E470" s="2"/>
    </row>
    <row r="471" ht="15.75" customHeight="1">
      <c r="C471" s="1"/>
      <c r="D471" s="2"/>
      <c r="E471" s="2"/>
    </row>
    <row r="472" ht="15.75" customHeight="1">
      <c r="C472" s="1"/>
      <c r="D472" s="2"/>
      <c r="E472" s="2"/>
    </row>
    <row r="473" ht="15.75" customHeight="1">
      <c r="C473" s="1"/>
      <c r="D473" s="2"/>
      <c r="E473" s="2"/>
    </row>
    <row r="474" ht="15.75" customHeight="1">
      <c r="C474" s="1"/>
      <c r="D474" s="2"/>
      <c r="E474" s="2"/>
    </row>
    <row r="475" ht="15.75" customHeight="1">
      <c r="C475" s="1"/>
      <c r="D475" s="2"/>
      <c r="E475" s="2"/>
    </row>
    <row r="476" ht="15.75" customHeight="1">
      <c r="C476" s="1"/>
      <c r="D476" s="2"/>
      <c r="E476" s="2"/>
    </row>
    <row r="477" ht="15.75" customHeight="1">
      <c r="C477" s="1"/>
      <c r="D477" s="2"/>
      <c r="E477" s="2"/>
    </row>
    <row r="478" ht="15.75" customHeight="1">
      <c r="C478" s="1"/>
      <c r="D478" s="2"/>
      <c r="E478" s="2"/>
    </row>
    <row r="479" ht="15.75" customHeight="1">
      <c r="C479" s="1"/>
      <c r="D479" s="2"/>
      <c r="E479" s="2"/>
    </row>
    <row r="480" ht="15.75" customHeight="1">
      <c r="C480" s="1"/>
      <c r="D480" s="2"/>
      <c r="E480" s="2"/>
    </row>
    <row r="481" ht="15.75" customHeight="1">
      <c r="C481" s="1"/>
      <c r="D481" s="2"/>
      <c r="E481" s="2"/>
    </row>
    <row r="482" ht="15.75" customHeight="1">
      <c r="C482" s="1"/>
      <c r="D482" s="2"/>
      <c r="E482" s="2"/>
    </row>
    <row r="483" ht="15.75" customHeight="1">
      <c r="C483" s="1"/>
      <c r="D483" s="2"/>
      <c r="E483" s="2"/>
    </row>
    <row r="484" ht="15.75" customHeight="1">
      <c r="C484" s="1"/>
      <c r="D484" s="2"/>
      <c r="E484" s="2"/>
    </row>
    <row r="485" ht="15.75" customHeight="1">
      <c r="C485" s="1"/>
      <c r="D485" s="2"/>
      <c r="E485" s="2"/>
    </row>
    <row r="486" ht="15.75" customHeight="1">
      <c r="C486" s="1"/>
      <c r="D486" s="2"/>
      <c r="E486" s="2"/>
    </row>
    <row r="487" ht="15.75" customHeight="1">
      <c r="C487" s="1"/>
      <c r="D487" s="2"/>
      <c r="E487" s="2"/>
    </row>
    <row r="488" ht="15.75" customHeight="1">
      <c r="C488" s="1"/>
      <c r="D488" s="2"/>
      <c r="E488" s="2"/>
    </row>
    <row r="489" ht="15.75" customHeight="1">
      <c r="C489" s="1"/>
      <c r="D489" s="2"/>
      <c r="E489" s="2"/>
    </row>
    <row r="490" ht="15.75" customHeight="1">
      <c r="C490" s="1"/>
      <c r="D490" s="2"/>
      <c r="E490" s="2"/>
    </row>
    <row r="491" ht="15.75" customHeight="1">
      <c r="C491" s="1"/>
      <c r="D491" s="2"/>
      <c r="E491" s="2"/>
    </row>
    <row r="492" ht="15.75" customHeight="1">
      <c r="C492" s="1"/>
      <c r="D492" s="2"/>
      <c r="E492" s="2"/>
    </row>
    <row r="493" ht="15.75" customHeight="1">
      <c r="C493" s="1"/>
      <c r="D493" s="2"/>
      <c r="E493" s="2"/>
    </row>
    <row r="494" ht="15.75" customHeight="1">
      <c r="C494" s="1"/>
      <c r="D494" s="2"/>
      <c r="E494" s="2"/>
    </row>
    <row r="495" ht="15.75" customHeight="1">
      <c r="C495" s="1"/>
      <c r="D495" s="2"/>
      <c r="E495" s="2"/>
    </row>
    <row r="496" ht="15.75" customHeight="1">
      <c r="C496" s="1"/>
      <c r="D496" s="2"/>
      <c r="E496" s="2"/>
    </row>
    <row r="497" ht="15.75" customHeight="1">
      <c r="C497" s="1"/>
      <c r="D497" s="2"/>
      <c r="E497" s="2"/>
    </row>
    <row r="498" ht="15.75" customHeight="1">
      <c r="C498" s="1"/>
      <c r="D498" s="2"/>
      <c r="E498" s="2"/>
    </row>
    <row r="499" ht="15.75" customHeight="1">
      <c r="C499" s="1"/>
      <c r="D499" s="2"/>
      <c r="E499" s="2"/>
    </row>
    <row r="500" ht="15.75" customHeight="1">
      <c r="C500" s="1"/>
      <c r="D500" s="2"/>
      <c r="E500" s="2"/>
    </row>
    <row r="501" ht="15.75" customHeight="1">
      <c r="C501" s="1"/>
      <c r="D501" s="2"/>
      <c r="E501" s="2"/>
    </row>
    <row r="502" ht="15.75" customHeight="1">
      <c r="C502" s="1"/>
      <c r="D502" s="2"/>
      <c r="E502" s="2"/>
    </row>
    <row r="503" ht="15.75" customHeight="1">
      <c r="C503" s="1"/>
      <c r="D503" s="2"/>
      <c r="E503" s="2"/>
    </row>
    <row r="504" ht="15.75" customHeight="1">
      <c r="C504" s="1"/>
      <c r="D504" s="2"/>
      <c r="E504" s="2"/>
    </row>
    <row r="505" ht="15.75" customHeight="1">
      <c r="C505" s="1"/>
      <c r="D505" s="2"/>
      <c r="E505" s="2"/>
    </row>
    <row r="506" ht="15.75" customHeight="1">
      <c r="C506" s="1"/>
      <c r="D506" s="2"/>
      <c r="E506" s="2"/>
    </row>
    <row r="507" ht="15.75" customHeight="1">
      <c r="C507" s="1"/>
      <c r="D507" s="2"/>
      <c r="E507" s="2"/>
    </row>
    <row r="508" ht="15.75" customHeight="1">
      <c r="C508" s="1"/>
      <c r="D508" s="2"/>
      <c r="E508" s="2"/>
    </row>
    <row r="509" ht="15.75" customHeight="1">
      <c r="C509" s="1"/>
      <c r="D509" s="2"/>
      <c r="E509" s="2"/>
    </row>
    <row r="510" ht="15.75" customHeight="1">
      <c r="C510" s="1"/>
      <c r="D510" s="2"/>
      <c r="E510" s="2"/>
    </row>
    <row r="511" ht="15.75" customHeight="1">
      <c r="C511" s="1"/>
      <c r="D511" s="2"/>
      <c r="E511" s="2"/>
    </row>
    <row r="512" ht="15.75" customHeight="1">
      <c r="C512" s="1"/>
      <c r="D512" s="2"/>
      <c r="E512" s="2"/>
    </row>
    <row r="513" ht="15.75" customHeight="1">
      <c r="C513" s="1"/>
      <c r="D513" s="2"/>
      <c r="E513" s="2"/>
    </row>
    <row r="514" ht="15.75" customHeight="1">
      <c r="C514" s="1"/>
      <c r="D514" s="2"/>
      <c r="E514" s="2"/>
    </row>
    <row r="515" ht="15.75" customHeight="1">
      <c r="C515" s="1"/>
      <c r="D515" s="2"/>
      <c r="E515" s="2"/>
    </row>
    <row r="516" ht="15.75" customHeight="1">
      <c r="C516" s="1"/>
      <c r="D516" s="2"/>
      <c r="E516" s="2"/>
    </row>
    <row r="517" ht="15.75" customHeight="1">
      <c r="C517" s="1"/>
      <c r="D517" s="2"/>
      <c r="E517" s="2"/>
    </row>
    <row r="518" ht="15.75" customHeight="1">
      <c r="C518" s="1"/>
      <c r="D518" s="2"/>
      <c r="E518" s="2"/>
    </row>
    <row r="519" ht="15.75" customHeight="1">
      <c r="C519" s="1"/>
      <c r="D519" s="2"/>
      <c r="E519" s="2"/>
    </row>
    <row r="520" ht="15.75" customHeight="1">
      <c r="C520" s="1"/>
      <c r="D520" s="2"/>
      <c r="E520" s="2"/>
    </row>
    <row r="521" ht="15.75" customHeight="1">
      <c r="C521" s="1"/>
      <c r="D521" s="2"/>
      <c r="E521" s="2"/>
    </row>
    <row r="522" ht="15.75" customHeight="1">
      <c r="C522" s="1"/>
      <c r="D522" s="2"/>
      <c r="E522" s="2"/>
    </row>
    <row r="523" ht="15.75" customHeight="1">
      <c r="C523" s="1"/>
      <c r="D523" s="2"/>
      <c r="E523" s="2"/>
    </row>
    <row r="524" ht="15.75" customHeight="1">
      <c r="C524" s="1"/>
      <c r="D524" s="2"/>
      <c r="E524" s="2"/>
    </row>
    <row r="525" ht="15.75" customHeight="1">
      <c r="C525" s="1"/>
      <c r="D525" s="2"/>
      <c r="E525" s="2"/>
    </row>
    <row r="526" ht="15.75" customHeight="1">
      <c r="C526" s="1"/>
      <c r="D526" s="2"/>
      <c r="E526" s="2"/>
    </row>
    <row r="527" ht="15.75" customHeight="1">
      <c r="C527" s="1"/>
      <c r="D527" s="2"/>
      <c r="E527" s="2"/>
    </row>
    <row r="528" ht="15.75" customHeight="1">
      <c r="C528" s="1"/>
      <c r="D528" s="2"/>
      <c r="E528" s="2"/>
    </row>
    <row r="529" ht="15.75" customHeight="1">
      <c r="C529" s="1"/>
      <c r="D529" s="2"/>
      <c r="E529" s="2"/>
    </row>
    <row r="530" ht="15.75" customHeight="1">
      <c r="C530" s="1"/>
      <c r="D530" s="2"/>
      <c r="E530" s="2"/>
    </row>
    <row r="531" ht="15.75" customHeight="1">
      <c r="C531" s="1"/>
      <c r="D531" s="2"/>
      <c r="E531" s="2"/>
    </row>
    <row r="532" ht="15.75" customHeight="1">
      <c r="C532" s="1"/>
      <c r="D532" s="2"/>
      <c r="E532" s="2"/>
    </row>
    <row r="533" ht="15.75" customHeight="1">
      <c r="C533" s="1"/>
      <c r="D533" s="2"/>
      <c r="E533" s="2"/>
    </row>
    <row r="534" ht="15.75" customHeight="1">
      <c r="C534" s="1"/>
      <c r="D534" s="2"/>
      <c r="E534" s="2"/>
    </row>
    <row r="535" ht="15.75" customHeight="1">
      <c r="C535" s="1"/>
      <c r="D535" s="2"/>
      <c r="E535" s="2"/>
    </row>
    <row r="536" ht="15.75" customHeight="1">
      <c r="C536" s="1"/>
      <c r="D536" s="2"/>
      <c r="E536" s="2"/>
    </row>
    <row r="537" ht="15.75" customHeight="1">
      <c r="C537" s="1"/>
      <c r="D537" s="2"/>
      <c r="E537" s="2"/>
    </row>
    <row r="538" ht="15.75" customHeight="1">
      <c r="C538" s="1"/>
      <c r="D538" s="2"/>
      <c r="E538" s="2"/>
    </row>
    <row r="539" ht="15.75" customHeight="1">
      <c r="C539" s="1"/>
      <c r="D539" s="2"/>
      <c r="E539" s="2"/>
    </row>
    <row r="540" ht="15.75" customHeight="1">
      <c r="C540" s="1"/>
      <c r="D540" s="2"/>
      <c r="E540" s="2"/>
    </row>
    <row r="541" ht="15.75" customHeight="1">
      <c r="C541" s="1"/>
      <c r="D541" s="2"/>
      <c r="E541" s="2"/>
    </row>
    <row r="542" ht="15.75" customHeight="1">
      <c r="C542" s="1"/>
      <c r="D542" s="2"/>
      <c r="E542" s="2"/>
    </row>
    <row r="543" ht="15.75" customHeight="1">
      <c r="C543" s="1"/>
      <c r="D543" s="2"/>
      <c r="E543" s="2"/>
    </row>
    <row r="544" ht="15.75" customHeight="1">
      <c r="C544" s="1"/>
      <c r="D544" s="2"/>
      <c r="E544" s="2"/>
    </row>
    <row r="545" ht="15.75" customHeight="1">
      <c r="C545" s="1"/>
      <c r="D545" s="2"/>
      <c r="E545" s="2"/>
    </row>
    <row r="546" ht="15.75" customHeight="1">
      <c r="C546" s="1"/>
      <c r="D546" s="2"/>
      <c r="E546" s="2"/>
    </row>
    <row r="547" ht="15.75" customHeight="1">
      <c r="C547" s="1"/>
      <c r="D547" s="2"/>
      <c r="E547" s="2"/>
    </row>
    <row r="548" ht="15.75" customHeight="1">
      <c r="C548" s="1"/>
      <c r="D548" s="2"/>
      <c r="E548" s="2"/>
    </row>
    <row r="549" ht="15.75" customHeight="1">
      <c r="C549" s="1"/>
      <c r="D549" s="2"/>
      <c r="E549" s="2"/>
    </row>
    <row r="550" ht="15.75" customHeight="1">
      <c r="C550" s="1"/>
      <c r="D550" s="2"/>
      <c r="E550" s="2"/>
    </row>
    <row r="551" ht="15.75" customHeight="1">
      <c r="C551" s="1"/>
      <c r="D551" s="2"/>
      <c r="E551" s="2"/>
    </row>
    <row r="552" ht="15.75" customHeight="1">
      <c r="C552" s="1"/>
      <c r="D552" s="2"/>
      <c r="E552" s="2"/>
    </row>
    <row r="553" ht="15.75" customHeight="1">
      <c r="C553" s="1"/>
      <c r="D553" s="2"/>
      <c r="E553" s="2"/>
    </row>
    <row r="554" ht="15.75" customHeight="1">
      <c r="C554" s="1"/>
      <c r="D554" s="2"/>
      <c r="E554" s="2"/>
    </row>
    <row r="555" ht="15.75" customHeight="1">
      <c r="C555" s="1"/>
      <c r="D555" s="2"/>
      <c r="E555" s="2"/>
    </row>
    <row r="556" ht="15.75" customHeight="1">
      <c r="C556" s="1"/>
      <c r="D556" s="2"/>
      <c r="E556" s="2"/>
    </row>
    <row r="557" ht="15.75" customHeight="1">
      <c r="C557" s="1"/>
      <c r="D557" s="2"/>
      <c r="E557" s="2"/>
    </row>
    <row r="558" ht="15.75" customHeight="1">
      <c r="C558" s="1"/>
      <c r="D558" s="2"/>
      <c r="E558" s="2"/>
    </row>
    <row r="559" ht="15.75" customHeight="1">
      <c r="C559" s="1"/>
      <c r="D559" s="2"/>
      <c r="E559" s="2"/>
    </row>
    <row r="560" ht="15.75" customHeight="1">
      <c r="C560" s="1"/>
      <c r="D560" s="2"/>
      <c r="E560" s="2"/>
    </row>
    <row r="561" ht="15.75" customHeight="1">
      <c r="C561" s="1"/>
      <c r="D561" s="2"/>
      <c r="E561" s="2"/>
    </row>
    <row r="562" ht="15.75" customHeight="1">
      <c r="C562" s="1"/>
      <c r="D562" s="2"/>
      <c r="E562" s="2"/>
    </row>
    <row r="563" ht="15.75" customHeight="1">
      <c r="C563" s="1"/>
      <c r="D563" s="2"/>
      <c r="E563" s="2"/>
    </row>
    <row r="564" ht="15.75" customHeight="1">
      <c r="C564" s="1"/>
      <c r="D564" s="2"/>
      <c r="E564" s="2"/>
    </row>
    <row r="565" ht="15.75" customHeight="1">
      <c r="C565" s="1"/>
      <c r="D565" s="2"/>
      <c r="E565" s="2"/>
    </row>
    <row r="566" ht="15.75" customHeight="1">
      <c r="C566" s="1"/>
      <c r="D566" s="2"/>
      <c r="E566" s="2"/>
    </row>
    <row r="567" ht="15.75" customHeight="1">
      <c r="C567" s="1"/>
      <c r="D567" s="2"/>
      <c r="E567" s="2"/>
    </row>
    <row r="568" ht="15.75" customHeight="1">
      <c r="C568" s="1"/>
      <c r="D568" s="2"/>
      <c r="E568" s="2"/>
    </row>
    <row r="569" ht="15.75" customHeight="1">
      <c r="C569" s="1"/>
      <c r="D569" s="2"/>
      <c r="E569" s="2"/>
    </row>
    <row r="570" ht="15.75" customHeight="1">
      <c r="C570" s="1"/>
      <c r="D570" s="2"/>
      <c r="E570" s="2"/>
    </row>
    <row r="571" ht="15.75" customHeight="1">
      <c r="C571" s="1"/>
      <c r="D571" s="2"/>
      <c r="E571" s="2"/>
    </row>
    <row r="572" ht="15.75" customHeight="1">
      <c r="C572" s="1"/>
      <c r="D572" s="2"/>
      <c r="E572" s="2"/>
    </row>
    <row r="573" ht="15.75" customHeight="1">
      <c r="C573" s="1"/>
      <c r="D573" s="2"/>
      <c r="E573" s="2"/>
    </row>
    <row r="574" ht="15.75" customHeight="1">
      <c r="C574" s="1"/>
      <c r="D574" s="2"/>
      <c r="E574" s="2"/>
    </row>
    <row r="575" ht="15.75" customHeight="1">
      <c r="C575" s="1"/>
      <c r="D575" s="2"/>
      <c r="E575" s="2"/>
    </row>
    <row r="576" ht="15.75" customHeight="1">
      <c r="C576" s="1"/>
      <c r="D576" s="2"/>
      <c r="E576" s="2"/>
    </row>
    <row r="577" ht="15.75" customHeight="1">
      <c r="C577" s="1"/>
      <c r="D577" s="2"/>
      <c r="E577" s="2"/>
    </row>
    <row r="578" ht="15.75" customHeight="1">
      <c r="C578" s="1"/>
      <c r="D578" s="2"/>
      <c r="E578" s="2"/>
    </row>
    <row r="579" ht="15.75" customHeight="1">
      <c r="C579" s="1"/>
      <c r="D579" s="2"/>
      <c r="E579" s="2"/>
    </row>
    <row r="580" ht="15.75" customHeight="1">
      <c r="C580" s="1"/>
      <c r="D580" s="2"/>
      <c r="E580" s="2"/>
    </row>
    <row r="581" ht="15.75" customHeight="1">
      <c r="C581" s="1"/>
      <c r="D581" s="2"/>
      <c r="E581" s="2"/>
    </row>
    <row r="582" ht="15.75" customHeight="1">
      <c r="C582" s="1"/>
      <c r="D582" s="2"/>
      <c r="E582" s="2"/>
    </row>
    <row r="583" ht="15.75" customHeight="1">
      <c r="C583" s="1"/>
      <c r="D583" s="2"/>
      <c r="E583" s="2"/>
    </row>
    <row r="584" ht="15.75" customHeight="1">
      <c r="C584" s="1"/>
      <c r="D584" s="2"/>
      <c r="E584" s="2"/>
    </row>
    <row r="585" ht="15.75" customHeight="1">
      <c r="C585" s="1"/>
      <c r="D585" s="2"/>
      <c r="E585" s="2"/>
    </row>
    <row r="586" ht="15.75" customHeight="1">
      <c r="C586" s="1"/>
      <c r="D586" s="2"/>
      <c r="E586" s="2"/>
    </row>
    <row r="587" ht="15.75" customHeight="1">
      <c r="C587" s="1"/>
      <c r="D587" s="2"/>
      <c r="E587" s="2"/>
    </row>
    <row r="588" ht="15.75" customHeight="1">
      <c r="C588" s="1"/>
      <c r="D588" s="2"/>
      <c r="E588" s="2"/>
    </row>
    <row r="589" ht="15.75" customHeight="1">
      <c r="C589" s="1"/>
      <c r="D589" s="2"/>
      <c r="E589" s="2"/>
    </row>
    <row r="590" ht="15.75" customHeight="1">
      <c r="C590" s="1"/>
      <c r="D590" s="2"/>
      <c r="E590" s="2"/>
    </row>
    <row r="591" ht="15.75" customHeight="1">
      <c r="C591" s="1"/>
      <c r="D591" s="2"/>
      <c r="E591" s="2"/>
    </row>
    <row r="592" ht="15.75" customHeight="1">
      <c r="C592" s="1"/>
      <c r="D592" s="2"/>
      <c r="E592" s="2"/>
    </row>
    <row r="593" ht="15.75" customHeight="1">
      <c r="C593" s="1"/>
      <c r="D593" s="2"/>
      <c r="E593" s="2"/>
    </row>
    <row r="594" ht="15.75" customHeight="1">
      <c r="C594" s="1"/>
      <c r="D594" s="2"/>
      <c r="E594" s="2"/>
    </row>
    <row r="595" ht="15.75" customHeight="1">
      <c r="C595" s="1"/>
      <c r="D595" s="2"/>
      <c r="E595" s="2"/>
    </row>
    <row r="596" ht="15.75" customHeight="1">
      <c r="C596" s="1"/>
      <c r="D596" s="2"/>
      <c r="E596" s="2"/>
    </row>
    <row r="597" ht="15.75" customHeight="1">
      <c r="C597" s="1"/>
      <c r="D597" s="2"/>
      <c r="E597" s="2"/>
    </row>
    <row r="598" ht="15.75" customHeight="1">
      <c r="C598" s="1"/>
      <c r="D598" s="2"/>
      <c r="E598" s="2"/>
    </row>
    <row r="599" ht="15.75" customHeight="1">
      <c r="C599" s="1"/>
      <c r="D599" s="2"/>
      <c r="E599" s="2"/>
    </row>
    <row r="600" ht="15.75" customHeight="1">
      <c r="C600" s="1"/>
      <c r="D600" s="2"/>
      <c r="E600" s="2"/>
    </row>
    <row r="601" ht="15.75" customHeight="1">
      <c r="C601" s="1"/>
      <c r="D601" s="2"/>
      <c r="E601" s="2"/>
    </row>
    <row r="602" ht="15.75" customHeight="1">
      <c r="C602" s="1"/>
      <c r="D602" s="2"/>
      <c r="E602" s="2"/>
    </row>
    <row r="603" ht="15.75" customHeight="1">
      <c r="C603" s="1"/>
      <c r="D603" s="2"/>
      <c r="E603" s="2"/>
    </row>
    <row r="604" ht="15.75" customHeight="1">
      <c r="C604" s="1"/>
      <c r="D604" s="2"/>
      <c r="E604" s="2"/>
    </row>
    <row r="605" ht="15.75" customHeight="1">
      <c r="C605" s="1"/>
      <c r="D605" s="2"/>
      <c r="E605" s="2"/>
    </row>
    <row r="606" ht="15.75" customHeight="1">
      <c r="C606" s="1"/>
      <c r="D606" s="2"/>
      <c r="E606" s="2"/>
    </row>
    <row r="607" ht="15.75" customHeight="1">
      <c r="C607" s="1"/>
      <c r="D607" s="2"/>
      <c r="E607" s="2"/>
    </row>
    <row r="608" ht="15.75" customHeight="1">
      <c r="C608" s="1"/>
      <c r="D608" s="2"/>
      <c r="E608" s="2"/>
    </row>
    <row r="609" ht="15.75" customHeight="1">
      <c r="C609" s="1"/>
      <c r="D609" s="2"/>
      <c r="E609" s="2"/>
    </row>
    <row r="610" ht="15.75" customHeight="1">
      <c r="C610" s="1"/>
      <c r="D610" s="2"/>
      <c r="E610" s="2"/>
    </row>
    <row r="611" ht="15.75" customHeight="1">
      <c r="C611" s="1"/>
      <c r="D611" s="2"/>
      <c r="E611" s="2"/>
    </row>
    <row r="612" ht="15.75" customHeight="1">
      <c r="C612" s="1"/>
      <c r="D612" s="2"/>
      <c r="E612" s="2"/>
    </row>
    <row r="613" ht="15.75" customHeight="1">
      <c r="C613" s="1"/>
      <c r="D613" s="2"/>
      <c r="E613" s="2"/>
    </row>
    <row r="614" ht="15.75" customHeight="1">
      <c r="C614" s="1"/>
      <c r="D614" s="2"/>
      <c r="E614" s="2"/>
    </row>
    <row r="615" ht="15.75" customHeight="1">
      <c r="C615" s="1"/>
      <c r="D615" s="2"/>
      <c r="E615" s="2"/>
    </row>
    <row r="616" ht="15.75" customHeight="1">
      <c r="C616" s="1"/>
      <c r="D616" s="2"/>
      <c r="E616" s="2"/>
    </row>
    <row r="617" ht="15.75" customHeight="1">
      <c r="C617" s="1"/>
      <c r="D617" s="2"/>
      <c r="E617" s="2"/>
    </row>
    <row r="618" ht="15.75" customHeight="1">
      <c r="C618" s="1"/>
      <c r="D618" s="2"/>
      <c r="E618" s="2"/>
    </row>
    <row r="619" ht="15.75" customHeight="1">
      <c r="C619" s="1"/>
      <c r="D619" s="2"/>
      <c r="E619" s="2"/>
    </row>
    <row r="620" ht="15.75" customHeight="1">
      <c r="C620" s="1"/>
      <c r="D620" s="2"/>
      <c r="E620" s="2"/>
    </row>
    <row r="621" ht="15.75" customHeight="1">
      <c r="C621" s="1"/>
      <c r="D621" s="2"/>
      <c r="E621" s="2"/>
    </row>
    <row r="622" ht="15.75" customHeight="1">
      <c r="C622" s="1"/>
      <c r="D622" s="2"/>
      <c r="E622" s="2"/>
    </row>
    <row r="623" ht="15.75" customHeight="1">
      <c r="C623" s="1"/>
      <c r="D623" s="2"/>
      <c r="E623" s="2"/>
    </row>
    <row r="624" ht="15.75" customHeight="1">
      <c r="C624" s="1"/>
      <c r="D624" s="2"/>
      <c r="E624" s="2"/>
    </row>
    <row r="625" ht="15.75" customHeight="1">
      <c r="C625" s="1"/>
      <c r="D625" s="2"/>
      <c r="E625" s="2"/>
    </row>
    <row r="626" ht="15.75" customHeight="1">
      <c r="C626" s="1"/>
      <c r="D626" s="2"/>
      <c r="E626" s="2"/>
    </row>
    <row r="627" ht="15.75" customHeight="1">
      <c r="C627" s="1"/>
      <c r="D627" s="2"/>
      <c r="E627" s="2"/>
    </row>
    <row r="628" ht="15.75" customHeight="1">
      <c r="C628" s="1"/>
      <c r="D628" s="2"/>
      <c r="E628" s="2"/>
    </row>
    <row r="629" ht="15.75" customHeight="1">
      <c r="C629" s="1"/>
      <c r="D629" s="2"/>
      <c r="E629" s="2"/>
    </row>
    <row r="630" ht="15.75" customHeight="1">
      <c r="C630" s="1"/>
      <c r="D630" s="2"/>
      <c r="E630" s="2"/>
    </row>
    <row r="631" ht="15.75" customHeight="1">
      <c r="C631" s="1"/>
      <c r="D631" s="2"/>
      <c r="E631" s="2"/>
    </row>
    <row r="632" ht="15.75" customHeight="1">
      <c r="C632" s="1"/>
      <c r="D632" s="2"/>
      <c r="E632" s="2"/>
    </row>
    <row r="633" ht="15.75" customHeight="1">
      <c r="C633" s="1"/>
      <c r="D633" s="2"/>
      <c r="E633" s="2"/>
    </row>
    <row r="634" ht="15.75" customHeight="1">
      <c r="C634" s="1"/>
      <c r="D634" s="2"/>
      <c r="E634" s="2"/>
    </row>
    <row r="635" ht="15.75" customHeight="1">
      <c r="C635" s="1"/>
      <c r="D635" s="2"/>
      <c r="E635" s="2"/>
    </row>
    <row r="636" ht="15.75" customHeight="1">
      <c r="C636" s="1"/>
      <c r="D636" s="2"/>
      <c r="E636" s="2"/>
    </row>
    <row r="637" ht="15.75" customHeight="1">
      <c r="C637" s="1"/>
      <c r="D637" s="2"/>
      <c r="E637" s="2"/>
    </row>
    <row r="638" ht="15.75" customHeight="1">
      <c r="C638" s="1"/>
      <c r="D638" s="2"/>
      <c r="E638" s="2"/>
    </row>
    <row r="639" ht="15.75" customHeight="1">
      <c r="C639" s="1"/>
      <c r="D639" s="2"/>
      <c r="E639" s="2"/>
    </row>
    <row r="640" ht="15.75" customHeight="1">
      <c r="C640" s="1"/>
      <c r="D640" s="2"/>
      <c r="E640" s="2"/>
    </row>
    <row r="641" ht="15.75" customHeight="1">
      <c r="C641" s="1"/>
      <c r="D641" s="2"/>
      <c r="E641" s="2"/>
    </row>
    <row r="642" ht="15.75" customHeight="1">
      <c r="C642" s="1"/>
      <c r="D642" s="2"/>
      <c r="E642" s="2"/>
    </row>
    <row r="643" ht="15.75" customHeight="1">
      <c r="C643" s="1"/>
      <c r="D643" s="2"/>
      <c r="E643" s="2"/>
    </row>
    <row r="644" ht="15.75" customHeight="1">
      <c r="C644" s="1"/>
      <c r="D644" s="2"/>
      <c r="E644" s="2"/>
    </row>
    <row r="645" ht="15.75" customHeight="1">
      <c r="C645" s="1"/>
      <c r="D645" s="2"/>
      <c r="E645" s="2"/>
    </row>
    <row r="646" ht="15.75" customHeight="1">
      <c r="C646" s="1"/>
      <c r="D646" s="2"/>
      <c r="E646" s="2"/>
    </row>
    <row r="647" ht="15.75" customHeight="1">
      <c r="C647" s="1"/>
      <c r="D647" s="2"/>
      <c r="E647" s="2"/>
    </row>
    <row r="648" ht="15.75" customHeight="1">
      <c r="C648" s="1"/>
      <c r="D648" s="2"/>
      <c r="E648" s="2"/>
    </row>
    <row r="649" ht="15.75" customHeight="1">
      <c r="C649" s="1"/>
      <c r="D649" s="2"/>
      <c r="E649" s="2"/>
    </row>
    <row r="650" ht="15.75" customHeight="1">
      <c r="C650" s="1"/>
      <c r="D650" s="2"/>
      <c r="E650" s="2"/>
    </row>
    <row r="651" ht="15.75" customHeight="1">
      <c r="C651" s="1"/>
      <c r="D651" s="2"/>
      <c r="E651" s="2"/>
    </row>
    <row r="652" ht="15.75" customHeight="1">
      <c r="C652" s="1"/>
      <c r="D652" s="2"/>
      <c r="E652" s="2"/>
    </row>
    <row r="653" ht="15.75" customHeight="1">
      <c r="C653" s="1"/>
      <c r="D653" s="2"/>
      <c r="E653" s="2"/>
    </row>
    <row r="654" ht="15.75" customHeight="1">
      <c r="C654" s="1"/>
      <c r="D654" s="2"/>
      <c r="E654" s="2"/>
    </row>
    <row r="655" ht="15.75" customHeight="1">
      <c r="C655" s="1"/>
      <c r="D655" s="2"/>
      <c r="E655" s="2"/>
    </row>
    <row r="656" ht="15.75" customHeight="1">
      <c r="C656" s="1"/>
      <c r="D656" s="2"/>
      <c r="E656" s="2"/>
    </row>
    <row r="657" ht="15.75" customHeight="1">
      <c r="C657" s="1"/>
      <c r="D657" s="2"/>
      <c r="E657" s="2"/>
    </row>
    <row r="658" ht="15.75" customHeight="1">
      <c r="C658" s="1"/>
      <c r="D658" s="2"/>
      <c r="E658" s="2"/>
    </row>
    <row r="659" ht="15.75" customHeight="1">
      <c r="C659" s="1"/>
      <c r="D659" s="2"/>
      <c r="E659" s="2"/>
    </row>
    <row r="660" ht="15.75" customHeight="1">
      <c r="C660" s="1"/>
      <c r="D660" s="2"/>
      <c r="E660" s="2"/>
    </row>
    <row r="661" ht="15.75" customHeight="1">
      <c r="C661" s="1"/>
      <c r="D661" s="2"/>
      <c r="E661" s="2"/>
    </row>
    <row r="662" ht="15.75" customHeight="1">
      <c r="C662" s="1"/>
      <c r="D662" s="2"/>
      <c r="E662" s="2"/>
    </row>
    <row r="663" ht="15.75" customHeight="1">
      <c r="C663" s="1"/>
      <c r="D663" s="2"/>
      <c r="E663" s="2"/>
    </row>
    <row r="664" ht="15.75" customHeight="1">
      <c r="C664" s="1"/>
      <c r="D664" s="2"/>
      <c r="E664" s="2"/>
    </row>
    <row r="665" ht="15.75" customHeight="1">
      <c r="C665" s="1"/>
      <c r="D665" s="2"/>
      <c r="E665" s="2"/>
    </row>
    <row r="666" ht="15.75" customHeight="1">
      <c r="C666" s="1"/>
      <c r="D666" s="2"/>
      <c r="E666" s="2"/>
    </row>
    <row r="667" ht="15.75" customHeight="1">
      <c r="C667" s="1"/>
      <c r="D667" s="2"/>
      <c r="E667" s="2"/>
    </row>
    <row r="668" ht="15.75" customHeight="1">
      <c r="C668" s="1"/>
      <c r="D668" s="2"/>
      <c r="E668" s="2"/>
    </row>
    <row r="669" ht="15.75" customHeight="1">
      <c r="C669" s="1"/>
      <c r="D669" s="2"/>
      <c r="E669" s="2"/>
    </row>
    <row r="670" ht="15.75" customHeight="1">
      <c r="C670" s="1"/>
      <c r="D670" s="2"/>
      <c r="E670" s="2"/>
    </row>
    <row r="671" ht="15.75" customHeight="1">
      <c r="C671" s="1"/>
      <c r="D671" s="2"/>
      <c r="E671" s="2"/>
    </row>
    <row r="672" ht="15.75" customHeight="1">
      <c r="C672" s="1"/>
      <c r="D672" s="2"/>
      <c r="E672" s="2"/>
    </row>
    <row r="673" ht="15.75" customHeight="1">
      <c r="C673" s="1"/>
      <c r="D673" s="2"/>
      <c r="E673" s="2"/>
    </row>
    <row r="674" ht="15.75" customHeight="1">
      <c r="C674" s="1"/>
      <c r="D674" s="2"/>
      <c r="E674" s="2"/>
    </row>
    <row r="675" ht="15.75" customHeight="1">
      <c r="C675" s="1"/>
      <c r="D675" s="2"/>
      <c r="E675" s="2"/>
    </row>
    <row r="676" ht="15.75" customHeight="1">
      <c r="C676" s="1"/>
      <c r="D676" s="2"/>
      <c r="E676" s="2"/>
    </row>
    <row r="677" ht="15.75" customHeight="1">
      <c r="C677" s="1"/>
      <c r="D677" s="2"/>
      <c r="E677" s="2"/>
    </row>
    <row r="678" ht="15.75" customHeight="1">
      <c r="C678" s="1"/>
      <c r="D678" s="2"/>
      <c r="E678" s="2"/>
    </row>
    <row r="679" ht="15.75" customHeight="1">
      <c r="C679" s="1"/>
      <c r="D679" s="2"/>
      <c r="E679" s="2"/>
    </row>
    <row r="680" ht="15.75" customHeight="1">
      <c r="C680" s="1"/>
      <c r="D680" s="2"/>
      <c r="E680" s="2"/>
    </row>
    <row r="681" ht="15.75" customHeight="1">
      <c r="C681" s="1"/>
      <c r="D681" s="2"/>
      <c r="E681" s="2"/>
    </row>
    <row r="682" ht="15.75" customHeight="1">
      <c r="C682" s="1"/>
      <c r="D682" s="2"/>
      <c r="E682" s="2"/>
    </row>
    <row r="683" ht="15.75" customHeight="1">
      <c r="C683" s="1"/>
      <c r="D683" s="2"/>
      <c r="E683" s="2"/>
    </row>
    <row r="684" ht="15.75" customHeight="1">
      <c r="C684" s="1"/>
      <c r="D684" s="2"/>
      <c r="E684" s="2"/>
    </row>
    <row r="685" ht="15.75" customHeight="1">
      <c r="C685" s="1"/>
      <c r="D685" s="2"/>
      <c r="E685" s="2"/>
    </row>
    <row r="686" ht="15.75" customHeight="1">
      <c r="C686" s="1"/>
      <c r="D686" s="2"/>
      <c r="E686" s="2"/>
    </row>
    <row r="687" ht="15.75" customHeight="1">
      <c r="C687" s="1"/>
      <c r="D687" s="2"/>
      <c r="E687" s="2"/>
    </row>
    <row r="688" ht="15.75" customHeight="1">
      <c r="C688" s="1"/>
      <c r="D688" s="2"/>
      <c r="E688" s="2"/>
    </row>
    <row r="689" ht="15.75" customHeight="1">
      <c r="C689" s="1"/>
      <c r="D689" s="2"/>
      <c r="E689" s="2"/>
    </row>
    <row r="690" ht="15.75" customHeight="1">
      <c r="C690" s="1"/>
      <c r="D690" s="2"/>
      <c r="E690" s="2"/>
    </row>
    <row r="691" ht="15.75" customHeight="1">
      <c r="C691" s="1"/>
      <c r="D691" s="2"/>
      <c r="E691" s="2"/>
    </row>
    <row r="692" ht="15.75" customHeight="1">
      <c r="C692" s="1"/>
      <c r="D692" s="2"/>
      <c r="E692" s="2"/>
    </row>
    <row r="693" ht="15.75" customHeight="1">
      <c r="C693" s="1"/>
      <c r="D693" s="2"/>
      <c r="E693" s="2"/>
    </row>
    <row r="694" ht="15.75" customHeight="1">
      <c r="C694" s="1"/>
      <c r="D694" s="2"/>
      <c r="E694" s="2"/>
    </row>
    <row r="695" ht="15.75" customHeight="1">
      <c r="C695" s="1"/>
      <c r="D695" s="2"/>
      <c r="E695" s="2"/>
    </row>
    <row r="696" ht="15.75" customHeight="1">
      <c r="C696" s="1"/>
      <c r="D696" s="2"/>
      <c r="E696" s="2"/>
    </row>
    <row r="697" ht="15.75" customHeight="1">
      <c r="C697" s="1"/>
      <c r="D697" s="2"/>
      <c r="E697" s="2"/>
    </row>
    <row r="698" ht="15.75" customHeight="1">
      <c r="C698" s="1"/>
      <c r="D698" s="2"/>
      <c r="E698" s="2"/>
    </row>
    <row r="699" ht="15.75" customHeight="1">
      <c r="C699" s="1"/>
      <c r="D699" s="2"/>
      <c r="E699" s="2"/>
    </row>
    <row r="700" ht="15.75" customHeight="1">
      <c r="C700" s="1"/>
      <c r="D700" s="2"/>
      <c r="E700" s="2"/>
    </row>
    <row r="701" ht="15.75" customHeight="1">
      <c r="C701" s="1"/>
      <c r="D701" s="2"/>
      <c r="E701" s="2"/>
    </row>
    <row r="702" ht="15.75" customHeight="1">
      <c r="C702" s="1"/>
      <c r="D702" s="2"/>
      <c r="E702" s="2"/>
    </row>
    <row r="703" ht="15.75" customHeight="1">
      <c r="C703" s="1"/>
      <c r="D703" s="2"/>
      <c r="E703" s="2"/>
    </row>
    <row r="704" ht="15.75" customHeight="1">
      <c r="C704" s="1"/>
      <c r="D704" s="2"/>
      <c r="E704" s="2"/>
    </row>
    <row r="705" ht="15.75" customHeight="1">
      <c r="C705" s="1"/>
      <c r="D705" s="2"/>
      <c r="E705" s="2"/>
    </row>
    <row r="706" ht="15.75" customHeight="1">
      <c r="C706" s="1"/>
      <c r="D706" s="2"/>
      <c r="E706" s="2"/>
    </row>
    <row r="707" ht="15.75" customHeight="1">
      <c r="C707" s="1"/>
      <c r="D707" s="2"/>
      <c r="E707" s="2"/>
    </row>
    <row r="708" ht="15.75" customHeight="1">
      <c r="C708" s="1"/>
      <c r="D708" s="2"/>
      <c r="E708" s="2"/>
    </row>
    <row r="709" ht="15.75" customHeight="1">
      <c r="C709" s="1"/>
      <c r="D709" s="2"/>
      <c r="E709" s="2"/>
    </row>
    <row r="710" ht="15.75" customHeight="1">
      <c r="C710" s="1"/>
      <c r="D710" s="2"/>
      <c r="E710" s="2"/>
    </row>
    <row r="711" ht="15.75" customHeight="1">
      <c r="C711" s="1"/>
      <c r="D711" s="2"/>
      <c r="E711" s="2"/>
    </row>
    <row r="712" ht="15.75" customHeight="1">
      <c r="C712" s="1"/>
      <c r="D712" s="2"/>
      <c r="E712" s="2"/>
    </row>
    <row r="713" ht="15.75" customHeight="1">
      <c r="C713" s="1"/>
      <c r="D713" s="2"/>
      <c r="E713" s="2"/>
    </row>
    <row r="714" ht="15.75" customHeight="1">
      <c r="C714" s="1"/>
      <c r="D714" s="2"/>
      <c r="E714" s="2"/>
    </row>
    <row r="715" ht="15.75" customHeight="1">
      <c r="C715" s="1"/>
      <c r="D715" s="2"/>
      <c r="E715" s="2"/>
    </row>
    <row r="716" ht="15.75" customHeight="1">
      <c r="C716" s="1"/>
      <c r="D716" s="2"/>
      <c r="E716" s="2"/>
    </row>
    <row r="717" ht="15.75" customHeight="1">
      <c r="C717" s="1"/>
      <c r="D717" s="2"/>
      <c r="E717" s="2"/>
    </row>
    <row r="718" ht="15.75" customHeight="1">
      <c r="C718" s="1"/>
      <c r="D718" s="2"/>
      <c r="E718" s="2"/>
    </row>
    <row r="719" ht="15.75" customHeight="1">
      <c r="C719" s="1"/>
      <c r="D719" s="2"/>
      <c r="E719" s="2"/>
    </row>
    <row r="720" ht="15.75" customHeight="1">
      <c r="C720" s="1"/>
      <c r="D720" s="2"/>
      <c r="E720" s="2"/>
    </row>
    <row r="721" ht="15.75" customHeight="1">
      <c r="C721" s="1"/>
      <c r="D721" s="2"/>
      <c r="E721" s="2"/>
    </row>
    <row r="722" ht="15.75" customHeight="1">
      <c r="C722" s="1"/>
      <c r="D722" s="2"/>
      <c r="E722" s="2"/>
    </row>
    <row r="723" ht="15.75" customHeight="1">
      <c r="C723" s="1"/>
      <c r="D723" s="2"/>
      <c r="E723" s="2"/>
    </row>
    <row r="724" ht="15.75" customHeight="1">
      <c r="C724" s="1"/>
      <c r="D724" s="2"/>
      <c r="E724" s="2"/>
    </row>
    <row r="725" ht="15.75" customHeight="1">
      <c r="C725" s="1"/>
      <c r="D725" s="2"/>
      <c r="E725" s="2"/>
    </row>
    <row r="726" ht="15.75" customHeight="1">
      <c r="C726" s="1"/>
      <c r="D726" s="2"/>
      <c r="E726" s="2"/>
    </row>
    <row r="727" ht="15.75" customHeight="1">
      <c r="C727" s="1"/>
      <c r="D727" s="2"/>
      <c r="E727" s="2"/>
    </row>
    <row r="728" ht="15.75" customHeight="1">
      <c r="C728" s="1"/>
      <c r="D728" s="2"/>
      <c r="E728" s="2"/>
    </row>
    <row r="729" ht="15.75" customHeight="1">
      <c r="C729" s="1"/>
      <c r="D729" s="2"/>
      <c r="E729" s="2"/>
    </row>
    <row r="730" ht="15.75" customHeight="1">
      <c r="C730" s="1"/>
      <c r="D730" s="2"/>
      <c r="E730" s="2"/>
    </row>
    <row r="731" ht="15.75" customHeight="1">
      <c r="C731" s="1"/>
      <c r="D731" s="2"/>
      <c r="E731" s="2"/>
    </row>
    <row r="732" ht="15.75" customHeight="1">
      <c r="C732" s="1"/>
      <c r="D732" s="2"/>
      <c r="E732" s="2"/>
    </row>
    <row r="733" ht="15.75" customHeight="1">
      <c r="C733" s="1"/>
      <c r="D733" s="2"/>
      <c r="E733" s="2"/>
    </row>
    <row r="734" ht="15.75" customHeight="1">
      <c r="C734" s="1"/>
      <c r="D734" s="2"/>
      <c r="E734" s="2"/>
    </row>
    <row r="735" ht="15.75" customHeight="1">
      <c r="C735" s="1"/>
      <c r="D735" s="2"/>
      <c r="E735" s="2"/>
    </row>
    <row r="736" ht="15.75" customHeight="1">
      <c r="C736" s="1"/>
      <c r="D736" s="2"/>
      <c r="E736" s="2"/>
    </row>
    <row r="737" ht="15.75" customHeight="1">
      <c r="C737" s="1"/>
      <c r="D737" s="2"/>
      <c r="E737" s="2"/>
    </row>
    <row r="738" ht="15.75" customHeight="1">
      <c r="C738" s="1"/>
      <c r="D738" s="2"/>
      <c r="E738" s="2"/>
    </row>
    <row r="739" ht="15.75" customHeight="1">
      <c r="C739" s="1"/>
      <c r="D739" s="2"/>
      <c r="E739" s="2"/>
    </row>
    <row r="740" ht="15.75" customHeight="1">
      <c r="C740" s="1"/>
      <c r="D740" s="2"/>
      <c r="E740" s="2"/>
    </row>
    <row r="741" ht="15.75" customHeight="1">
      <c r="C741" s="1"/>
      <c r="D741" s="2"/>
      <c r="E741" s="2"/>
    </row>
    <row r="742" ht="15.75" customHeight="1">
      <c r="C742" s="1"/>
      <c r="D742" s="2"/>
      <c r="E742" s="2"/>
    </row>
    <row r="743" ht="15.75" customHeight="1">
      <c r="C743" s="1"/>
      <c r="D743" s="2"/>
      <c r="E743" s="2"/>
    </row>
    <row r="744" ht="15.75" customHeight="1">
      <c r="C744" s="1"/>
      <c r="D744" s="2"/>
      <c r="E744" s="2"/>
    </row>
    <row r="745" ht="15.75" customHeight="1">
      <c r="C745" s="1"/>
      <c r="D745" s="2"/>
      <c r="E745" s="2"/>
    </row>
    <row r="746" ht="15.75" customHeight="1">
      <c r="C746" s="1"/>
      <c r="D746" s="2"/>
      <c r="E746" s="2"/>
    </row>
    <row r="747" ht="15.75" customHeight="1">
      <c r="C747" s="1"/>
      <c r="D747" s="2"/>
      <c r="E747" s="2"/>
    </row>
    <row r="748" ht="15.75" customHeight="1">
      <c r="C748" s="1"/>
      <c r="D748" s="2"/>
      <c r="E748" s="2"/>
    </row>
    <row r="749" ht="15.75" customHeight="1">
      <c r="C749" s="1"/>
      <c r="D749" s="2"/>
      <c r="E749" s="2"/>
    </row>
    <row r="750" ht="15.75" customHeight="1">
      <c r="C750" s="1"/>
      <c r="D750" s="2"/>
      <c r="E750" s="2"/>
    </row>
    <row r="751" ht="15.75" customHeight="1">
      <c r="C751" s="1"/>
      <c r="D751" s="2"/>
      <c r="E751" s="2"/>
    </row>
    <row r="752" ht="15.75" customHeight="1">
      <c r="C752" s="1"/>
      <c r="D752" s="2"/>
      <c r="E752" s="2"/>
    </row>
    <row r="753" ht="15.75" customHeight="1">
      <c r="C753" s="1"/>
      <c r="D753" s="2"/>
      <c r="E753" s="2"/>
    </row>
    <row r="754" ht="15.75" customHeight="1">
      <c r="C754" s="1"/>
      <c r="D754" s="2"/>
      <c r="E754" s="2"/>
    </row>
    <row r="755" ht="15.75" customHeight="1">
      <c r="C755" s="1"/>
      <c r="D755" s="2"/>
      <c r="E755" s="2"/>
    </row>
    <row r="756" ht="15.75" customHeight="1">
      <c r="C756" s="1"/>
      <c r="D756" s="2"/>
      <c r="E756" s="2"/>
    </row>
    <row r="757" ht="15.75" customHeight="1">
      <c r="C757" s="1"/>
      <c r="D757" s="2"/>
      <c r="E757" s="2"/>
    </row>
    <row r="758" ht="15.75" customHeight="1">
      <c r="C758" s="1"/>
      <c r="D758" s="2"/>
      <c r="E758" s="2"/>
    </row>
    <row r="759" ht="15.75" customHeight="1">
      <c r="C759" s="1"/>
      <c r="D759" s="2"/>
      <c r="E759" s="2"/>
    </row>
    <row r="760" ht="15.75" customHeight="1">
      <c r="C760" s="1"/>
      <c r="D760" s="2"/>
      <c r="E760" s="2"/>
    </row>
    <row r="761" ht="15.75" customHeight="1">
      <c r="C761" s="1"/>
      <c r="D761" s="2"/>
      <c r="E761" s="2"/>
    </row>
    <row r="762" ht="15.75" customHeight="1">
      <c r="C762" s="1"/>
      <c r="D762" s="2"/>
      <c r="E762" s="2"/>
    </row>
    <row r="763" ht="15.75" customHeight="1">
      <c r="C763" s="1"/>
      <c r="D763" s="2"/>
      <c r="E763" s="2"/>
    </row>
    <row r="764" ht="15.75" customHeight="1">
      <c r="C764" s="1"/>
      <c r="D764" s="2"/>
      <c r="E764" s="2"/>
    </row>
    <row r="765" ht="15.75" customHeight="1">
      <c r="C765" s="1"/>
      <c r="D765" s="2"/>
      <c r="E765" s="2"/>
    </row>
    <row r="766" ht="15.75" customHeight="1">
      <c r="C766" s="1"/>
      <c r="D766" s="2"/>
      <c r="E766" s="2"/>
    </row>
    <row r="767" ht="15.75" customHeight="1">
      <c r="C767" s="1"/>
      <c r="D767" s="2"/>
      <c r="E767" s="2"/>
    </row>
    <row r="768" ht="15.75" customHeight="1">
      <c r="C768" s="1"/>
      <c r="D768" s="2"/>
      <c r="E768" s="2"/>
    </row>
    <row r="769" ht="15.75" customHeight="1">
      <c r="C769" s="1"/>
      <c r="D769" s="2"/>
      <c r="E769" s="2"/>
    </row>
    <row r="770" ht="15.75" customHeight="1">
      <c r="C770" s="1"/>
      <c r="D770" s="2"/>
      <c r="E770" s="2"/>
    </row>
    <row r="771" ht="15.75" customHeight="1">
      <c r="C771" s="1"/>
      <c r="D771" s="2"/>
      <c r="E771" s="2"/>
    </row>
    <row r="772" ht="15.75" customHeight="1">
      <c r="C772" s="1"/>
      <c r="D772" s="2"/>
      <c r="E772" s="2"/>
    </row>
    <row r="773" ht="15.75" customHeight="1">
      <c r="C773" s="1"/>
      <c r="D773" s="2"/>
      <c r="E773" s="2"/>
    </row>
    <row r="774" ht="15.75" customHeight="1">
      <c r="C774" s="1"/>
      <c r="D774" s="2"/>
      <c r="E774" s="2"/>
    </row>
    <row r="775" ht="15.75" customHeight="1">
      <c r="C775" s="1"/>
      <c r="D775" s="2"/>
      <c r="E775" s="2"/>
    </row>
    <row r="776" ht="15.75" customHeight="1">
      <c r="C776" s="1"/>
      <c r="D776" s="2"/>
      <c r="E776" s="2"/>
    </row>
    <row r="777" ht="15.75" customHeight="1">
      <c r="C777" s="1"/>
      <c r="D777" s="2"/>
      <c r="E777" s="2"/>
    </row>
    <row r="778" ht="15.75" customHeight="1">
      <c r="C778" s="1"/>
      <c r="D778" s="2"/>
      <c r="E778" s="2"/>
    </row>
    <row r="779" ht="15.75" customHeight="1">
      <c r="C779" s="1"/>
      <c r="D779" s="2"/>
      <c r="E779" s="2"/>
    </row>
    <row r="780" ht="15.75" customHeight="1">
      <c r="C780" s="1"/>
      <c r="D780" s="2"/>
      <c r="E780" s="2"/>
    </row>
    <row r="781" ht="15.75" customHeight="1">
      <c r="C781" s="1"/>
      <c r="D781" s="2"/>
      <c r="E781" s="2"/>
    </row>
    <row r="782" ht="15.75" customHeight="1">
      <c r="C782" s="1"/>
      <c r="D782" s="2"/>
      <c r="E782" s="2"/>
    </row>
    <row r="783" ht="15.75" customHeight="1">
      <c r="C783" s="1"/>
      <c r="D783" s="2"/>
      <c r="E783" s="2"/>
    </row>
    <row r="784" ht="15.75" customHeight="1">
      <c r="C784" s="1"/>
      <c r="D784" s="2"/>
      <c r="E784" s="2"/>
    </row>
    <row r="785" ht="15.75" customHeight="1">
      <c r="C785" s="1"/>
      <c r="D785" s="2"/>
      <c r="E785" s="2"/>
    </row>
    <row r="786" ht="15.75" customHeight="1">
      <c r="C786" s="1"/>
      <c r="D786" s="2"/>
      <c r="E786" s="2"/>
    </row>
    <row r="787" ht="15.75" customHeight="1">
      <c r="C787" s="1"/>
      <c r="D787" s="2"/>
      <c r="E787" s="2"/>
    </row>
    <row r="788" ht="15.75" customHeight="1">
      <c r="C788" s="1"/>
      <c r="D788" s="2"/>
      <c r="E788" s="2"/>
    </row>
    <row r="789" ht="15.75" customHeight="1">
      <c r="C789" s="1"/>
      <c r="D789" s="2"/>
      <c r="E789" s="2"/>
    </row>
    <row r="790" ht="15.75" customHeight="1">
      <c r="C790" s="1"/>
      <c r="D790" s="2"/>
      <c r="E790" s="2"/>
    </row>
    <row r="791" ht="15.75" customHeight="1">
      <c r="C791" s="1"/>
      <c r="D791" s="2"/>
      <c r="E791" s="2"/>
    </row>
    <row r="792" ht="15.75" customHeight="1">
      <c r="C792" s="1"/>
      <c r="D792" s="2"/>
      <c r="E792" s="2"/>
    </row>
    <row r="793" ht="15.75" customHeight="1">
      <c r="C793" s="1"/>
      <c r="D793" s="2"/>
      <c r="E793" s="2"/>
    </row>
    <row r="794" ht="15.75" customHeight="1">
      <c r="C794" s="1"/>
      <c r="D794" s="2"/>
      <c r="E794" s="2"/>
    </row>
    <row r="795" ht="15.75" customHeight="1">
      <c r="C795" s="1"/>
      <c r="D795" s="2"/>
      <c r="E795" s="2"/>
    </row>
    <row r="796" ht="15.75" customHeight="1">
      <c r="C796" s="1"/>
      <c r="D796" s="2"/>
      <c r="E796" s="2"/>
    </row>
    <row r="797" ht="15.75" customHeight="1">
      <c r="C797" s="1"/>
      <c r="D797" s="2"/>
      <c r="E797" s="2"/>
    </row>
    <row r="798" ht="15.75" customHeight="1">
      <c r="C798" s="1"/>
      <c r="D798" s="2"/>
      <c r="E798" s="2"/>
    </row>
    <row r="799" ht="15.75" customHeight="1">
      <c r="C799" s="1"/>
      <c r="D799" s="2"/>
      <c r="E799" s="2"/>
    </row>
    <row r="800" ht="15.75" customHeight="1">
      <c r="C800" s="1"/>
      <c r="D800" s="2"/>
      <c r="E800" s="2"/>
    </row>
    <row r="801" ht="15.75" customHeight="1">
      <c r="C801" s="1"/>
      <c r="D801" s="2"/>
      <c r="E801" s="2"/>
    </row>
    <row r="802" ht="15.75" customHeight="1">
      <c r="C802" s="1"/>
      <c r="D802" s="2"/>
      <c r="E802" s="2"/>
    </row>
    <row r="803" ht="15.75" customHeight="1">
      <c r="C803" s="1"/>
      <c r="D803" s="2"/>
      <c r="E803" s="2"/>
    </row>
    <row r="804" ht="15.75" customHeight="1">
      <c r="C804" s="1"/>
      <c r="D804" s="2"/>
      <c r="E804" s="2"/>
    </row>
    <row r="805" ht="15.75" customHeight="1">
      <c r="C805" s="1"/>
      <c r="D805" s="2"/>
      <c r="E805" s="2"/>
    </row>
    <row r="806" ht="15.75" customHeight="1">
      <c r="C806" s="1"/>
      <c r="D806" s="2"/>
      <c r="E806" s="2"/>
    </row>
    <row r="807" ht="15.75" customHeight="1">
      <c r="C807" s="1"/>
      <c r="D807" s="2"/>
      <c r="E807" s="2"/>
    </row>
    <row r="808" ht="15.75" customHeight="1">
      <c r="C808" s="1"/>
      <c r="D808" s="2"/>
      <c r="E808" s="2"/>
    </row>
    <row r="809" ht="15.75" customHeight="1">
      <c r="C809" s="1"/>
      <c r="D809" s="2"/>
      <c r="E809" s="2"/>
    </row>
    <row r="810" ht="15.75" customHeight="1">
      <c r="C810" s="1"/>
      <c r="D810" s="2"/>
      <c r="E810" s="2"/>
    </row>
    <row r="811" ht="15.75" customHeight="1">
      <c r="C811" s="1"/>
      <c r="D811" s="2"/>
      <c r="E811" s="2"/>
    </row>
    <row r="812" ht="15.75" customHeight="1">
      <c r="C812" s="1"/>
      <c r="D812" s="2"/>
      <c r="E812" s="2"/>
    </row>
    <row r="813" ht="15.75" customHeight="1">
      <c r="C813" s="1"/>
      <c r="D813" s="2"/>
      <c r="E813" s="2"/>
    </row>
    <row r="814" ht="15.75" customHeight="1">
      <c r="C814" s="1"/>
      <c r="D814" s="2"/>
      <c r="E814" s="2"/>
    </row>
    <row r="815" ht="15.75" customHeight="1">
      <c r="C815" s="1"/>
      <c r="D815" s="2"/>
      <c r="E815" s="2"/>
    </row>
    <row r="816" ht="15.75" customHeight="1">
      <c r="C816" s="1"/>
      <c r="D816" s="2"/>
      <c r="E816" s="2"/>
    </row>
    <row r="817" ht="15.75" customHeight="1">
      <c r="C817" s="1"/>
      <c r="D817" s="2"/>
      <c r="E817" s="2"/>
    </row>
    <row r="818" ht="15.75" customHeight="1">
      <c r="C818" s="1"/>
      <c r="D818" s="2"/>
      <c r="E818" s="2"/>
    </row>
    <row r="819" ht="15.75" customHeight="1">
      <c r="C819" s="1"/>
      <c r="D819" s="2"/>
      <c r="E819" s="2"/>
    </row>
    <row r="820" ht="15.75" customHeight="1">
      <c r="C820" s="1"/>
      <c r="D820" s="2"/>
      <c r="E820" s="2"/>
    </row>
    <row r="821" ht="15.75" customHeight="1">
      <c r="C821" s="1"/>
      <c r="D821" s="2"/>
      <c r="E821" s="2"/>
    </row>
    <row r="822" ht="15.75" customHeight="1">
      <c r="C822" s="1"/>
      <c r="D822" s="2"/>
      <c r="E822" s="2"/>
    </row>
    <row r="823" ht="15.75" customHeight="1">
      <c r="C823" s="1"/>
      <c r="D823" s="2"/>
      <c r="E823" s="2"/>
    </row>
    <row r="824" ht="15.75" customHeight="1">
      <c r="C824" s="1"/>
      <c r="D824" s="2"/>
      <c r="E824" s="2"/>
    </row>
    <row r="825" ht="15.75" customHeight="1">
      <c r="C825" s="1"/>
      <c r="D825" s="2"/>
      <c r="E825" s="2"/>
    </row>
    <row r="826" ht="15.75" customHeight="1">
      <c r="C826" s="1"/>
      <c r="D826" s="2"/>
      <c r="E826" s="2"/>
    </row>
    <row r="827" ht="15.75" customHeight="1">
      <c r="C827" s="1"/>
      <c r="D827" s="2"/>
      <c r="E827" s="2"/>
    </row>
    <row r="828" ht="15.75" customHeight="1">
      <c r="C828" s="1"/>
      <c r="D828" s="2"/>
      <c r="E828" s="2"/>
    </row>
    <row r="829" ht="15.75" customHeight="1">
      <c r="C829" s="1"/>
      <c r="D829" s="2"/>
      <c r="E829" s="2"/>
    </row>
    <row r="830" ht="15.75" customHeight="1">
      <c r="C830" s="1"/>
      <c r="D830" s="2"/>
      <c r="E830" s="2"/>
    </row>
    <row r="831" ht="15.75" customHeight="1">
      <c r="C831" s="1"/>
      <c r="D831" s="2"/>
      <c r="E831" s="2"/>
    </row>
    <row r="832" ht="15.75" customHeight="1">
      <c r="C832" s="1"/>
      <c r="D832" s="2"/>
      <c r="E832" s="2"/>
    </row>
    <row r="833" ht="15.75" customHeight="1">
      <c r="C833" s="1"/>
      <c r="D833" s="2"/>
      <c r="E833" s="2"/>
    </row>
    <row r="834" ht="15.75" customHeight="1">
      <c r="C834" s="1"/>
      <c r="D834" s="2"/>
      <c r="E834" s="2"/>
    </row>
    <row r="835" ht="15.75" customHeight="1">
      <c r="C835" s="1"/>
      <c r="D835" s="2"/>
      <c r="E835" s="2"/>
    </row>
    <row r="836" ht="15.75" customHeight="1">
      <c r="C836" s="1"/>
      <c r="D836" s="2"/>
      <c r="E836" s="2"/>
    </row>
    <row r="837" ht="15.75" customHeight="1">
      <c r="C837" s="1"/>
      <c r="D837" s="2"/>
      <c r="E837" s="2"/>
    </row>
    <row r="838" ht="15.75" customHeight="1">
      <c r="C838" s="1"/>
      <c r="D838" s="2"/>
      <c r="E838" s="2"/>
    </row>
    <row r="839" ht="15.75" customHeight="1">
      <c r="C839" s="1"/>
      <c r="D839" s="2"/>
      <c r="E839" s="2"/>
    </row>
    <row r="840" ht="15.75" customHeight="1">
      <c r="C840" s="1"/>
      <c r="D840" s="2"/>
      <c r="E840" s="2"/>
    </row>
    <row r="841" ht="15.75" customHeight="1">
      <c r="C841" s="1"/>
      <c r="D841" s="2"/>
      <c r="E841" s="2"/>
    </row>
    <row r="842" ht="15.75" customHeight="1">
      <c r="C842" s="1"/>
      <c r="D842" s="2"/>
      <c r="E842" s="2"/>
    </row>
    <row r="843" ht="15.75" customHeight="1">
      <c r="C843" s="1"/>
      <c r="D843" s="2"/>
      <c r="E843" s="2"/>
    </row>
    <row r="844" ht="15.75" customHeight="1">
      <c r="C844" s="1"/>
      <c r="D844" s="2"/>
      <c r="E844" s="2"/>
    </row>
    <row r="845" ht="15.75" customHeight="1">
      <c r="C845" s="1"/>
      <c r="D845" s="2"/>
      <c r="E845" s="2"/>
    </row>
    <row r="846" ht="15.75" customHeight="1">
      <c r="C846" s="1"/>
      <c r="D846" s="2"/>
      <c r="E846" s="2"/>
    </row>
    <row r="847" ht="15.75" customHeight="1">
      <c r="C847" s="1"/>
      <c r="D847" s="2"/>
      <c r="E847" s="2"/>
    </row>
    <row r="848" ht="15.75" customHeight="1">
      <c r="C848" s="1"/>
      <c r="D848" s="2"/>
      <c r="E848" s="2"/>
    </row>
    <row r="849" ht="15.75" customHeight="1">
      <c r="C849" s="1"/>
      <c r="D849" s="2"/>
      <c r="E849" s="2"/>
    </row>
    <row r="850" ht="15.75" customHeight="1">
      <c r="C850" s="1"/>
      <c r="D850" s="2"/>
      <c r="E850" s="2"/>
    </row>
    <row r="851" ht="15.75" customHeight="1">
      <c r="C851" s="1"/>
      <c r="D851" s="2"/>
      <c r="E851" s="2"/>
    </row>
    <row r="852" ht="15.75" customHeight="1">
      <c r="C852" s="1"/>
      <c r="D852" s="2"/>
      <c r="E852" s="2"/>
    </row>
    <row r="853" ht="15.75" customHeight="1">
      <c r="C853" s="1"/>
      <c r="D853" s="2"/>
      <c r="E853" s="2"/>
    </row>
    <row r="854" ht="15.75" customHeight="1">
      <c r="C854" s="1"/>
      <c r="D854" s="2"/>
      <c r="E854" s="2"/>
    </row>
    <row r="855" ht="15.75" customHeight="1">
      <c r="C855" s="1"/>
      <c r="D855" s="2"/>
      <c r="E855" s="2"/>
    </row>
    <row r="856" ht="15.75" customHeight="1">
      <c r="C856" s="1"/>
      <c r="D856" s="2"/>
      <c r="E856" s="2"/>
    </row>
    <row r="857" ht="15.75" customHeight="1">
      <c r="C857" s="1"/>
      <c r="D857" s="2"/>
      <c r="E857" s="2"/>
    </row>
    <row r="858" ht="15.75" customHeight="1">
      <c r="C858" s="1"/>
      <c r="D858" s="2"/>
      <c r="E858" s="2"/>
    </row>
    <row r="859" ht="15.75" customHeight="1">
      <c r="C859" s="1"/>
      <c r="D859" s="2"/>
      <c r="E859" s="2"/>
    </row>
    <row r="860" ht="15.75" customHeight="1">
      <c r="C860" s="1"/>
      <c r="D860" s="2"/>
      <c r="E860" s="2"/>
    </row>
    <row r="861" ht="15.75" customHeight="1">
      <c r="C861" s="1"/>
      <c r="D861" s="2"/>
      <c r="E861" s="2"/>
    </row>
    <row r="862" ht="15.75" customHeight="1">
      <c r="C862" s="1"/>
      <c r="D862" s="2"/>
      <c r="E862" s="2"/>
    </row>
    <row r="863" ht="15.75" customHeight="1">
      <c r="C863" s="1"/>
      <c r="D863" s="2"/>
      <c r="E863" s="2"/>
    </row>
    <row r="864" ht="15.75" customHeight="1">
      <c r="C864" s="1"/>
      <c r="D864" s="2"/>
      <c r="E864" s="2"/>
    </row>
    <row r="865" ht="15.75" customHeight="1">
      <c r="C865" s="1"/>
      <c r="D865" s="2"/>
      <c r="E865" s="2"/>
    </row>
    <row r="866" ht="15.75" customHeight="1">
      <c r="C866" s="1"/>
      <c r="D866" s="2"/>
      <c r="E866" s="2"/>
    </row>
    <row r="867" ht="15.75" customHeight="1">
      <c r="C867" s="1"/>
      <c r="D867" s="2"/>
      <c r="E867" s="2"/>
    </row>
    <row r="868" ht="15.75" customHeight="1">
      <c r="C868" s="1"/>
      <c r="D868" s="2"/>
      <c r="E868" s="2"/>
    </row>
    <row r="869" ht="15.75" customHeight="1">
      <c r="C869" s="1"/>
      <c r="D869" s="2"/>
      <c r="E869" s="2"/>
    </row>
    <row r="870" ht="15.75" customHeight="1">
      <c r="C870" s="1"/>
      <c r="D870" s="2"/>
      <c r="E870" s="2"/>
    </row>
    <row r="871" ht="15.75" customHeight="1">
      <c r="C871" s="1"/>
      <c r="D871" s="2"/>
      <c r="E871" s="2"/>
    </row>
    <row r="872" ht="15.75" customHeight="1">
      <c r="C872" s="1"/>
      <c r="D872" s="2"/>
      <c r="E872" s="2"/>
    </row>
    <row r="873" ht="15.75" customHeight="1">
      <c r="C873" s="1"/>
      <c r="D873" s="2"/>
      <c r="E873" s="2"/>
    </row>
    <row r="874" ht="15.75" customHeight="1">
      <c r="C874" s="1"/>
      <c r="D874" s="2"/>
      <c r="E874" s="2"/>
    </row>
    <row r="875" ht="15.75" customHeight="1">
      <c r="C875" s="1"/>
      <c r="D875" s="2"/>
      <c r="E875" s="2"/>
    </row>
    <row r="876" ht="15.75" customHeight="1">
      <c r="C876" s="1"/>
      <c r="D876" s="2"/>
      <c r="E876" s="2"/>
    </row>
    <row r="877" ht="15.75" customHeight="1">
      <c r="C877" s="1"/>
      <c r="D877" s="2"/>
      <c r="E877" s="2"/>
    </row>
    <row r="878" ht="15.75" customHeight="1">
      <c r="C878" s="1"/>
      <c r="D878" s="2"/>
      <c r="E878" s="2"/>
    </row>
    <row r="879" ht="15.75" customHeight="1">
      <c r="C879" s="1"/>
      <c r="D879" s="2"/>
      <c r="E879" s="2"/>
    </row>
    <row r="880" ht="15.75" customHeight="1">
      <c r="C880" s="1"/>
      <c r="D880" s="2"/>
      <c r="E880" s="2"/>
    </row>
    <row r="881" ht="15.75" customHeight="1">
      <c r="C881" s="1"/>
      <c r="D881" s="2"/>
      <c r="E881" s="2"/>
    </row>
    <row r="882" ht="15.75" customHeight="1">
      <c r="C882" s="1"/>
      <c r="D882" s="2"/>
      <c r="E882" s="2"/>
    </row>
    <row r="883" ht="15.75" customHeight="1">
      <c r="C883" s="1"/>
      <c r="D883" s="2"/>
      <c r="E883" s="2"/>
    </row>
    <row r="884" ht="15.75" customHeight="1">
      <c r="C884" s="1"/>
      <c r="D884" s="2"/>
      <c r="E884" s="2"/>
    </row>
    <row r="885" ht="15.75" customHeight="1">
      <c r="C885" s="1"/>
      <c r="D885" s="2"/>
      <c r="E885" s="2"/>
    </row>
    <row r="886" ht="15.75" customHeight="1">
      <c r="C886" s="1"/>
      <c r="D886" s="2"/>
      <c r="E886" s="2"/>
    </row>
    <row r="887" ht="15.75" customHeight="1">
      <c r="C887" s="1"/>
      <c r="D887" s="2"/>
      <c r="E887" s="2"/>
    </row>
    <row r="888" ht="15.75" customHeight="1">
      <c r="C888" s="1"/>
      <c r="D888" s="2"/>
      <c r="E888" s="2"/>
    </row>
    <row r="889" ht="15.75" customHeight="1">
      <c r="C889" s="1"/>
      <c r="D889" s="2"/>
      <c r="E889" s="2"/>
    </row>
    <row r="890" ht="15.75" customHeight="1">
      <c r="C890" s="1"/>
      <c r="D890" s="2"/>
      <c r="E890" s="2"/>
    </row>
    <row r="891" ht="15.75" customHeight="1">
      <c r="C891" s="1"/>
      <c r="D891" s="2"/>
      <c r="E891" s="2"/>
    </row>
    <row r="892" ht="15.75" customHeight="1">
      <c r="C892" s="1"/>
      <c r="D892" s="2"/>
      <c r="E892" s="2"/>
    </row>
    <row r="893" ht="15.75" customHeight="1">
      <c r="C893" s="1"/>
      <c r="D893" s="2"/>
      <c r="E893" s="2"/>
    </row>
    <row r="894" ht="15.75" customHeight="1">
      <c r="C894" s="1"/>
      <c r="D894" s="2"/>
      <c r="E894" s="2"/>
    </row>
    <row r="895" ht="15.75" customHeight="1">
      <c r="C895" s="1"/>
      <c r="D895" s="2"/>
      <c r="E895" s="2"/>
    </row>
    <row r="896" ht="15.75" customHeight="1">
      <c r="C896" s="1"/>
      <c r="D896" s="2"/>
      <c r="E896" s="2"/>
    </row>
    <row r="897" ht="15.75" customHeight="1">
      <c r="C897" s="1"/>
      <c r="D897" s="2"/>
      <c r="E897" s="2"/>
    </row>
    <row r="898" ht="15.75" customHeight="1">
      <c r="C898" s="1"/>
      <c r="D898" s="2"/>
      <c r="E898" s="2"/>
    </row>
    <row r="899" ht="15.75" customHeight="1">
      <c r="C899" s="1"/>
      <c r="D899" s="2"/>
      <c r="E899" s="2"/>
    </row>
    <row r="900" ht="15.75" customHeight="1">
      <c r="C900" s="1"/>
      <c r="D900" s="2"/>
      <c r="E900" s="2"/>
    </row>
    <row r="901" ht="15.75" customHeight="1">
      <c r="C901" s="1"/>
      <c r="D901" s="2"/>
      <c r="E901" s="2"/>
    </row>
    <row r="902" ht="15.75" customHeight="1">
      <c r="C902" s="1"/>
      <c r="D902" s="2"/>
      <c r="E902" s="2"/>
    </row>
    <row r="903" ht="15.75" customHeight="1">
      <c r="C903" s="1"/>
      <c r="D903" s="2"/>
      <c r="E903" s="2"/>
    </row>
    <row r="904" ht="15.75" customHeight="1">
      <c r="C904" s="1"/>
      <c r="D904" s="2"/>
      <c r="E904" s="2"/>
    </row>
    <row r="905" ht="15.75" customHeight="1">
      <c r="C905" s="1"/>
      <c r="D905" s="2"/>
      <c r="E905" s="2"/>
    </row>
    <row r="906" ht="15.75" customHeight="1">
      <c r="C906" s="1"/>
      <c r="D906" s="2"/>
      <c r="E906" s="2"/>
    </row>
    <row r="907" ht="15.75" customHeight="1">
      <c r="C907" s="1"/>
      <c r="D907" s="2"/>
      <c r="E907" s="2"/>
    </row>
    <row r="908" ht="15.75" customHeight="1">
      <c r="C908" s="1"/>
      <c r="D908" s="2"/>
      <c r="E908" s="2"/>
    </row>
    <row r="909" ht="15.75" customHeight="1">
      <c r="C909" s="1"/>
      <c r="D909" s="2"/>
      <c r="E909" s="2"/>
    </row>
    <row r="910" ht="15.75" customHeight="1">
      <c r="C910" s="1"/>
      <c r="D910" s="2"/>
      <c r="E910" s="2"/>
    </row>
    <row r="911" ht="15.75" customHeight="1">
      <c r="C911" s="1"/>
      <c r="D911" s="2"/>
      <c r="E911" s="2"/>
    </row>
    <row r="912" ht="15.75" customHeight="1">
      <c r="C912" s="1"/>
      <c r="D912" s="2"/>
      <c r="E912" s="2"/>
    </row>
    <row r="913" ht="15.75" customHeight="1">
      <c r="C913" s="1"/>
      <c r="D913" s="2"/>
      <c r="E913" s="2"/>
    </row>
    <row r="914" ht="15.75" customHeight="1">
      <c r="C914" s="1"/>
      <c r="D914" s="2"/>
      <c r="E914" s="2"/>
    </row>
    <row r="915" ht="15.75" customHeight="1">
      <c r="C915" s="1"/>
      <c r="D915" s="2"/>
      <c r="E915" s="2"/>
    </row>
    <row r="916" ht="15.75" customHeight="1">
      <c r="C916" s="1"/>
      <c r="D916" s="2"/>
      <c r="E916" s="2"/>
    </row>
    <row r="917" ht="15.75" customHeight="1">
      <c r="C917" s="1"/>
      <c r="D917" s="2"/>
      <c r="E917" s="2"/>
    </row>
    <row r="918" ht="15.75" customHeight="1">
      <c r="C918" s="1"/>
      <c r="D918" s="2"/>
      <c r="E918" s="2"/>
    </row>
    <row r="919" ht="15.75" customHeight="1">
      <c r="C919" s="1"/>
      <c r="D919" s="2"/>
      <c r="E919" s="2"/>
    </row>
    <row r="920" ht="15.75" customHeight="1">
      <c r="C920" s="1"/>
      <c r="D920" s="2"/>
      <c r="E920" s="2"/>
    </row>
    <row r="921" ht="15.75" customHeight="1">
      <c r="C921" s="1"/>
      <c r="D921" s="2"/>
      <c r="E921" s="2"/>
    </row>
    <row r="922" ht="15.75" customHeight="1">
      <c r="C922" s="1"/>
      <c r="D922" s="2"/>
      <c r="E922" s="2"/>
    </row>
    <row r="923" ht="15.75" customHeight="1">
      <c r="C923" s="1"/>
      <c r="D923" s="2"/>
      <c r="E923" s="2"/>
    </row>
    <row r="924" ht="15.75" customHeight="1">
      <c r="C924" s="1"/>
      <c r="D924" s="2"/>
      <c r="E924" s="2"/>
    </row>
    <row r="925" ht="15.75" customHeight="1">
      <c r="C925" s="1"/>
      <c r="D925" s="2"/>
      <c r="E925" s="2"/>
    </row>
    <row r="926" ht="15.75" customHeight="1">
      <c r="C926" s="1"/>
      <c r="D926" s="2"/>
      <c r="E926" s="2"/>
    </row>
    <row r="927" ht="15.75" customHeight="1">
      <c r="C927" s="1"/>
      <c r="D927" s="2"/>
      <c r="E927" s="2"/>
    </row>
    <row r="928" ht="15.75" customHeight="1">
      <c r="C928" s="1"/>
      <c r="D928" s="2"/>
      <c r="E928" s="2"/>
    </row>
    <row r="929" ht="15.75" customHeight="1">
      <c r="C929" s="1"/>
      <c r="D929" s="2"/>
      <c r="E929" s="2"/>
    </row>
    <row r="930" ht="15.75" customHeight="1">
      <c r="C930" s="1"/>
      <c r="D930" s="2"/>
      <c r="E930" s="2"/>
    </row>
    <row r="931" ht="15.75" customHeight="1">
      <c r="C931" s="1"/>
      <c r="D931" s="2"/>
      <c r="E931" s="2"/>
    </row>
    <row r="932" ht="15.75" customHeight="1">
      <c r="C932" s="1"/>
      <c r="D932" s="2"/>
      <c r="E932" s="2"/>
    </row>
    <row r="933" ht="15.75" customHeight="1">
      <c r="C933" s="1"/>
      <c r="D933" s="2"/>
      <c r="E933" s="2"/>
    </row>
    <row r="934" ht="15.75" customHeight="1">
      <c r="C934" s="1"/>
      <c r="D934" s="2"/>
      <c r="E934" s="2"/>
    </row>
    <row r="935" ht="15.75" customHeight="1">
      <c r="C935" s="1"/>
      <c r="D935" s="2"/>
      <c r="E935" s="2"/>
    </row>
    <row r="936" ht="15.75" customHeight="1">
      <c r="C936" s="1"/>
      <c r="D936" s="2"/>
      <c r="E936" s="2"/>
    </row>
    <row r="937" ht="15.75" customHeight="1">
      <c r="C937" s="1"/>
      <c r="D937" s="2"/>
      <c r="E937" s="2"/>
    </row>
    <row r="938" ht="15.75" customHeight="1">
      <c r="C938" s="1"/>
      <c r="D938" s="2"/>
      <c r="E938" s="2"/>
    </row>
    <row r="939" ht="15.75" customHeight="1">
      <c r="C939" s="1"/>
      <c r="D939" s="2"/>
      <c r="E939" s="2"/>
    </row>
    <row r="940" ht="15.75" customHeight="1">
      <c r="C940" s="1"/>
      <c r="D940" s="2"/>
      <c r="E940" s="2"/>
    </row>
    <row r="941" ht="15.75" customHeight="1">
      <c r="C941" s="1"/>
      <c r="D941" s="2"/>
      <c r="E941" s="2"/>
    </row>
    <row r="942" ht="15.75" customHeight="1">
      <c r="C942" s="1"/>
      <c r="D942" s="2"/>
      <c r="E942" s="2"/>
    </row>
    <row r="943" ht="15.75" customHeight="1">
      <c r="C943" s="1"/>
      <c r="D943" s="2"/>
      <c r="E943" s="2"/>
    </row>
    <row r="944" ht="15.75" customHeight="1">
      <c r="C944" s="1"/>
      <c r="D944" s="2"/>
      <c r="E944" s="2"/>
    </row>
    <row r="945" ht="15.75" customHeight="1">
      <c r="C945" s="1"/>
      <c r="D945" s="2"/>
      <c r="E945" s="2"/>
    </row>
    <row r="946" ht="15.75" customHeight="1">
      <c r="C946" s="1"/>
      <c r="D946" s="2"/>
      <c r="E946" s="2"/>
    </row>
    <row r="947" ht="15.75" customHeight="1">
      <c r="C947" s="1"/>
      <c r="D947" s="2"/>
      <c r="E947" s="2"/>
    </row>
    <row r="948" ht="15.75" customHeight="1">
      <c r="C948" s="1"/>
      <c r="D948" s="2"/>
      <c r="E948" s="2"/>
    </row>
    <row r="949" ht="15.75" customHeight="1">
      <c r="C949" s="1"/>
      <c r="D949" s="2"/>
      <c r="E949" s="2"/>
    </row>
    <row r="950" ht="15.75" customHeight="1">
      <c r="C950" s="1"/>
      <c r="D950" s="2"/>
      <c r="E950" s="2"/>
    </row>
    <row r="951" ht="15.75" customHeight="1">
      <c r="C951" s="1"/>
      <c r="D951" s="2"/>
      <c r="E951" s="2"/>
    </row>
    <row r="952" ht="15.75" customHeight="1">
      <c r="C952" s="1"/>
      <c r="D952" s="2"/>
      <c r="E952" s="2"/>
    </row>
    <row r="953" ht="15.75" customHeight="1">
      <c r="C953" s="1"/>
      <c r="D953" s="2"/>
      <c r="E953" s="2"/>
    </row>
    <row r="954" ht="15.75" customHeight="1">
      <c r="C954" s="1"/>
      <c r="D954" s="2"/>
      <c r="E954" s="2"/>
    </row>
    <row r="955" ht="15.75" customHeight="1">
      <c r="C955" s="1"/>
      <c r="D955" s="2"/>
      <c r="E955" s="2"/>
    </row>
    <row r="956" ht="15.75" customHeight="1">
      <c r="C956" s="1"/>
      <c r="D956" s="2"/>
      <c r="E956" s="2"/>
    </row>
    <row r="957" ht="15.75" customHeight="1">
      <c r="C957" s="1"/>
      <c r="D957" s="2"/>
      <c r="E957" s="2"/>
    </row>
    <row r="958" ht="15.75" customHeight="1">
      <c r="C958" s="1"/>
      <c r="D958" s="2"/>
      <c r="E958" s="2"/>
    </row>
    <row r="959" ht="15.75" customHeight="1">
      <c r="C959" s="1"/>
      <c r="D959" s="2"/>
      <c r="E959" s="2"/>
    </row>
    <row r="960" ht="15.75" customHeight="1">
      <c r="C960" s="1"/>
      <c r="D960" s="2"/>
      <c r="E960" s="2"/>
    </row>
    <row r="961" ht="15.75" customHeight="1">
      <c r="C961" s="1"/>
      <c r="D961" s="2"/>
      <c r="E961" s="2"/>
    </row>
    <row r="962" ht="15.75" customHeight="1">
      <c r="C962" s="1"/>
      <c r="D962" s="2"/>
      <c r="E962" s="2"/>
    </row>
    <row r="963" ht="15.75" customHeight="1">
      <c r="C963" s="1"/>
      <c r="D963" s="2"/>
      <c r="E963" s="2"/>
    </row>
    <row r="964" ht="15.75" customHeight="1">
      <c r="C964" s="1"/>
      <c r="D964" s="2"/>
      <c r="E964" s="2"/>
    </row>
    <row r="965" ht="15.75" customHeight="1">
      <c r="C965" s="1"/>
      <c r="D965" s="2"/>
      <c r="E965" s="2"/>
    </row>
    <row r="966" ht="15.75" customHeight="1">
      <c r="C966" s="1"/>
      <c r="D966" s="2"/>
      <c r="E966" s="2"/>
    </row>
    <row r="967" ht="15.75" customHeight="1">
      <c r="C967" s="1"/>
      <c r="D967" s="2"/>
      <c r="E967" s="2"/>
    </row>
    <row r="968" ht="15.75" customHeight="1">
      <c r="C968" s="1"/>
      <c r="D968" s="2"/>
      <c r="E968" s="2"/>
    </row>
    <row r="969" ht="15.75" customHeight="1">
      <c r="C969" s="1"/>
      <c r="D969" s="2"/>
      <c r="E969" s="2"/>
    </row>
    <row r="970" ht="15.75" customHeight="1">
      <c r="C970" s="1"/>
      <c r="D970" s="2"/>
      <c r="E970" s="2"/>
    </row>
    <row r="971" ht="15.75" customHeight="1">
      <c r="C971" s="1"/>
      <c r="D971" s="2"/>
      <c r="E971" s="2"/>
    </row>
    <row r="972" ht="15.75" customHeight="1">
      <c r="C972" s="1"/>
      <c r="D972" s="2"/>
      <c r="E972" s="2"/>
    </row>
    <row r="973" ht="15.75" customHeight="1">
      <c r="C973" s="1"/>
      <c r="D973" s="2"/>
      <c r="E973" s="2"/>
    </row>
    <row r="974" ht="15.75" customHeight="1">
      <c r="C974" s="1"/>
      <c r="D974" s="2"/>
      <c r="E974" s="2"/>
    </row>
    <row r="975" ht="15.75" customHeight="1">
      <c r="C975" s="1"/>
      <c r="D975" s="2"/>
      <c r="E975" s="2"/>
    </row>
    <row r="976" ht="15.75" customHeight="1">
      <c r="C976" s="1"/>
      <c r="D976" s="2"/>
      <c r="E976" s="2"/>
    </row>
    <row r="977" ht="15.75" customHeight="1">
      <c r="C977" s="1"/>
      <c r="D977" s="2"/>
      <c r="E977" s="2"/>
    </row>
    <row r="978" ht="15.75" customHeight="1">
      <c r="C978" s="1"/>
      <c r="D978" s="2"/>
      <c r="E978" s="2"/>
    </row>
    <row r="979" ht="15.75" customHeight="1">
      <c r="C979" s="1"/>
      <c r="D979" s="2"/>
      <c r="E979" s="2"/>
    </row>
    <row r="980" ht="15.75" customHeight="1">
      <c r="C980" s="1"/>
      <c r="D980" s="2"/>
      <c r="E980" s="2"/>
    </row>
    <row r="981" ht="15.75" customHeight="1">
      <c r="C981" s="1"/>
      <c r="D981" s="2"/>
      <c r="E981" s="2"/>
    </row>
    <row r="982" ht="15.75" customHeight="1">
      <c r="C982" s="1"/>
      <c r="D982" s="2"/>
      <c r="E982" s="2"/>
    </row>
    <row r="983" ht="15.75" customHeight="1">
      <c r="C983" s="1"/>
      <c r="D983" s="2"/>
      <c r="E983" s="2"/>
    </row>
    <row r="984" ht="15.75" customHeight="1">
      <c r="C984" s="1"/>
      <c r="D984" s="2"/>
      <c r="E984" s="2"/>
    </row>
    <row r="985" ht="15.75" customHeight="1">
      <c r="C985" s="1"/>
      <c r="D985" s="2"/>
      <c r="E985" s="2"/>
    </row>
    <row r="986" ht="15.75" customHeight="1">
      <c r="C986" s="1"/>
      <c r="D986" s="2"/>
      <c r="E986" s="2"/>
    </row>
    <row r="987" ht="15.75" customHeight="1">
      <c r="C987" s="1"/>
      <c r="D987" s="2"/>
      <c r="E987" s="2"/>
    </row>
    <row r="988" ht="15.75" customHeight="1">
      <c r="C988" s="1"/>
      <c r="D988" s="2"/>
      <c r="E988" s="2"/>
    </row>
    <row r="989" ht="15.75" customHeight="1">
      <c r="C989" s="1"/>
      <c r="D989" s="2"/>
      <c r="E989" s="2"/>
    </row>
    <row r="990" ht="15.75" customHeight="1">
      <c r="C990" s="1"/>
      <c r="D990" s="2"/>
      <c r="E990" s="2"/>
    </row>
    <row r="991" ht="15.75" customHeight="1">
      <c r="C991" s="1"/>
      <c r="D991" s="2"/>
      <c r="E991" s="2"/>
    </row>
    <row r="992" ht="15.75" customHeight="1">
      <c r="C992" s="1"/>
      <c r="D992" s="2"/>
      <c r="E992" s="2"/>
    </row>
    <row r="993" ht="15.75" customHeight="1">
      <c r="C993" s="1"/>
      <c r="D993" s="2"/>
      <c r="E993" s="2"/>
    </row>
    <row r="994" ht="15.75" customHeight="1">
      <c r="C994" s="1"/>
      <c r="D994" s="2"/>
      <c r="E994" s="2"/>
    </row>
    <row r="995" ht="15.75" customHeight="1">
      <c r="C995" s="1"/>
      <c r="D995" s="2"/>
      <c r="E995" s="2"/>
    </row>
    <row r="996" ht="15.75" customHeight="1">
      <c r="C996" s="1"/>
      <c r="D996" s="2"/>
      <c r="E996" s="2"/>
    </row>
    <row r="997" ht="15.75" customHeight="1">
      <c r="C997" s="1"/>
      <c r="D997" s="2"/>
      <c r="E997" s="2"/>
    </row>
    <row r="998" ht="15.75" customHeight="1">
      <c r="C998" s="1"/>
      <c r="D998" s="2"/>
      <c r="E998" s="2"/>
    </row>
    <row r="999" ht="15.75" customHeight="1">
      <c r="C999" s="1"/>
      <c r="D999" s="2"/>
      <c r="E999" s="2"/>
    </row>
    <row r="1000" ht="15.75" customHeight="1">
      <c r="C1000" s="1"/>
      <c r="D1000" s="2"/>
      <c r="E1000" s="2"/>
    </row>
  </sheetData>
  <mergeCells count="8">
    <mergeCell ref="A5:A10"/>
    <mergeCell ref="B5:B10"/>
    <mergeCell ref="F5:F10"/>
    <mergeCell ref="H5:H10"/>
    <mergeCell ref="A11:A12"/>
    <mergeCell ref="B11:B12"/>
    <mergeCell ref="F11:F12"/>
    <mergeCell ref="H11:H12"/>
  </mergeCell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2022-11-26T12:22:29Z</dcterms:created>
  <dc:creator>Andres Santoro</dc:creator>
</cp:coreProperties>
</file>