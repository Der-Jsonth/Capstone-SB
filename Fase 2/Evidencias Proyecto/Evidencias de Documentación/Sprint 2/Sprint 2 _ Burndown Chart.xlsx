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Sprint 2" sheetId="1" r:id="rId5"/>
  </sheets>
  <definedNames/>
  <calcPr/>
</workbook>
</file>

<file path=xl/sharedStrings.xml><?xml version="1.0" encoding="utf-8"?>
<sst xmlns="http://schemas.openxmlformats.org/spreadsheetml/2006/main" count="58" uniqueCount="43">
  <si>
    <t>ID</t>
  </si>
  <si>
    <t>Historia / Tarea</t>
  </si>
  <si>
    <t>Resp.</t>
  </si>
  <si>
    <t>SP</t>
  </si>
  <si>
    <t>HH</t>
  </si>
  <si>
    <t>Observaciones</t>
  </si>
  <si>
    <t>Término Planificado</t>
  </si>
  <si>
    <t>Término Real</t>
  </si>
  <si>
    <t>E09-H01</t>
  </si>
  <si>
    <t>Arquitectura Cloud</t>
  </si>
  <si>
    <t>NM</t>
  </si>
  <si>
    <t>Historia pendiente del Sprint 1, incorporada al Sprint 2</t>
  </si>
  <si>
    <t>E10-H03</t>
  </si>
  <si>
    <t>Diseño e Implementación del Data Warehouse</t>
  </si>
  <si>
    <t>FO</t>
  </si>
  <si>
    <t>E09-H02</t>
  </si>
  <si>
    <t>Pipeline ETL Inicial</t>
  </si>
  <si>
    <t>E02-H03</t>
  </si>
  <si>
    <t>Configuración Perfil Rubro</t>
  </si>
  <si>
    <t>E04-H01</t>
  </si>
  <si>
    <t>Consulta Oportunidades</t>
  </si>
  <si>
    <t>E08-H02</t>
  </si>
  <si>
    <t>Motor de Oportunidades</t>
  </si>
  <si>
    <t>E10-H04</t>
  </si>
  <si>
    <t>Integración Motor de Oportunidades con la Plataforma</t>
  </si>
  <si>
    <t>E10-H05</t>
  </si>
  <si>
    <t>Selección de Variables del Modelo</t>
  </si>
  <si>
    <t>MG</t>
  </si>
  <si>
    <t>E07-H02</t>
  </si>
  <si>
    <t>Modelo Predictivo</t>
  </si>
  <si>
    <t>E06-H01</t>
  </si>
  <si>
    <t>Dashboard Productos</t>
  </si>
  <si>
    <t>Se traslada a Sprint 3</t>
  </si>
  <si>
    <t>Pendiente</t>
  </si>
  <si>
    <t>E06-H02</t>
  </si>
  <si>
    <t>Dashboard Competencia</t>
  </si>
  <si>
    <t>Total</t>
  </si>
  <si>
    <t>Completados: 55 SP · Pendientes trasladados a sprint 3: 16 SP.</t>
  </si>
  <si>
    <t>Sprint 2 Planificación</t>
  </si>
  <si>
    <t>Sprint 2 Avance Real</t>
  </si>
  <si>
    <t>Periodo</t>
  </si>
  <si>
    <t>SP restantes</t>
  </si>
  <si>
    <t>SP completados acumulados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</si>
</sst>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8">
    <font>
      <sz val="10.0"/>
      <color rgb="FF000000"/>
      <name val="Arial"/>
      <scheme val="minor"/>
    </font>
    <font>
      <b/>
      <color rgb="FFFFFFFF"/>
      <name val="Roboto"/>
    </font>
    <font>
      <b/>
      <color theme="1"/>
      <name val="Roboto"/>
    </font>
    <font>
      <color rgb="FF434343"/>
      <name val="Roboto"/>
    </font>
    <font>
      <b/>
      <color rgb="FF434343"/>
      <name val="Roboto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3" fontId="3" numFmtId="0" xfId="0" applyAlignment="1" applyFill="1" applyFont="1">
      <alignment shrinkToFit="0" vertical="center" wrapText="0"/>
    </xf>
    <xf borderId="0" fillId="3" fontId="3" numFmtId="0" xfId="0" applyAlignment="1" applyFill="1" applyFont="1">
      <alignment shrinkToFit="0" vertical="center" wrapText="1"/>
    </xf>
    <xf borderId="0" fillId="3" fontId="3" numFmtId="0" xfId="0" applyAlignment="1" applyFill="1" applyFont="1">
      <alignment horizontal="center" shrinkToFit="0" vertical="center" wrapText="0"/>
    </xf>
    <xf borderId="0" fillId="3" fontId="3" numFmtId="0" xfId="0" applyAlignment="1" applyFill="1" applyFont="1">
      <alignment horizontal="right" shrinkToFit="0" vertical="center" wrapText="0"/>
    </xf>
    <xf borderId="0" fillId="3" fontId="3" numFmtId="0" xfId="0" applyAlignment="1" applyFill="1" applyFont="1">
      <alignment horizontal="right" readingOrder="0" shrinkToFit="0" vertical="center" wrapText="1"/>
    </xf>
    <xf borderId="0" fillId="4" fontId="3" numFmtId="164" xfId="0" applyAlignment="1" applyFill="1" applyFont="1" applyNumberFormat="1">
      <alignment horizontal="right" readingOrder="0" shrinkToFit="0" vertical="center" wrapText="0"/>
    </xf>
    <xf borderId="0" fillId="4" fontId="3" numFmtId="0" xfId="0" applyAlignment="1" applyFill="1" applyFont="1">
      <alignment shrinkToFit="0" vertical="center" wrapText="0"/>
    </xf>
    <xf borderId="0" fillId="4" fontId="3" numFmtId="0" xfId="0" applyAlignment="1" applyFill="1" applyFont="1">
      <alignment shrinkToFit="0" vertical="center" wrapText="1"/>
    </xf>
    <xf borderId="0" fillId="4" fontId="3" numFmtId="0" xfId="0" applyAlignment="1" applyFill="1" applyFont="1">
      <alignment horizontal="center" shrinkToFit="0" vertical="center" wrapText="0"/>
    </xf>
    <xf borderId="0" fillId="4" fontId="3" numFmtId="0" xfId="0" applyAlignment="1" applyFill="1" applyFont="1">
      <alignment horizontal="right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  <xf borderId="0" fillId="3" fontId="3" numFmtId="164" xfId="0" applyAlignment="1" applyFill="1" applyFont="1" applyNumberFormat="1">
      <alignment horizontal="righ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readingOrder="0" shrinkToFit="0" vertical="center" wrapText="1"/>
    </xf>
    <xf borderId="0" fillId="3" fontId="4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shrinkToFit="0" vertical="center" wrapText="1"/>
    </xf>
    <xf borderId="0" fillId="3" fontId="4" numFmtId="0" xfId="0" applyAlignment="1" applyFill="1" applyFont="1">
      <alignment horizontal="center" shrinkToFit="0" vertical="center" wrapText="0"/>
    </xf>
    <xf borderId="0" fillId="3" fontId="4" numFmtId="0" xfId="0" applyAlignment="1" applyFill="1" applyFont="1">
      <alignment horizontal="right" shrinkToFit="0" vertical="center" wrapText="0"/>
    </xf>
    <xf borderId="0" fillId="3" fontId="4" numFmtId="0" xfId="0" applyAlignment="1" applyFill="1" applyFont="1">
      <alignment horizontal="right" readingOrder="0" shrinkToFit="0" vertical="center" wrapText="0"/>
    </xf>
    <xf borderId="0" fillId="3" fontId="4" numFmtId="0" xfId="0" applyAlignment="1" applyFill="1" applyFont="1">
      <alignment horizontal="right" readingOrder="0" shrinkToFit="0" vertical="center" wrapText="0"/>
    </xf>
    <xf borderId="1" fillId="0" fontId="5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 shrinkToFit="0" wrapText="1"/>
    </xf>
    <xf borderId="6" fillId="0" fontId="7" numFmtId="164" xfId="0" applyAlignment="1" applyBorder="1" applyFont="1" applyNumberFormat="1">
      <alignment readingOrder="0"/>
    </xf>
    <xf borderId="6" fillId="0" fontId="7" numFmtId="1" xfId="0" applyAlignment="1" applyBorder="1" applyFont="1" applyNumberFormat="1">
      <alignment readingOrder="0"/>
    </xf>
    <xf borderId="6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rndown Chart Sprin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Planificado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2'!$E$24:$E$56</c:f>
            </c:strRef>
          </c:cat>
          <c:val>
            <c:numRef>
              <c:f>'Burndown Chart Sprint 2'!$B$24:$B$56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2'!$E$24:$E$56</c:f>
            </c:strRef>
          </c:cat>
          <c:val>
            <c:numRef>
              <c:f>'Burndown Chart Sprint 2'!$F$24:$F$56</c:f>
              <c:numCache/>
            </c:numRef>
          </c:val>
          <c:smooth val="0"/>
        </c:ser>
        <c:axId val="250764025"/>
        <c:axId val="346061355"/>
      </c:lineChart>
      <c:catAx>
        <c:axId val="250764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061355"/>
      </c:catAx>
      <c:valAx>
        <c:axId val="346061355"/>
        <c:scaling>
          <c:orientation val="minMax"/>
          <c:max val="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7640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20</xdr:row>
      <xdr:rowOff>180975</xdr:rowOff>
    </xdr:from>
    <xdr:ext cx="5715000" cy="4276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18" displayName="Sprint_2" name="Sprint_2" id="1">
  <tableColumns count="8">
    <tableColumn name="ID" id="1"/>
    <tableColumn name="Historia / Tarea" id="2"/>
    <tableColumn name="Resp." id="3"/>
    <tableColumn name="SP" id="4"/>
    <tableColumn name="HH" id="5"/>
    <tableColumn name="Observaciones" id="6"/>
    <tableColumn name="Término Planificado" id="7"/>
    <tableColumn name="Término Real" id="8"/>
  </tableColumns>
  <tableStyleInfo name="Burndown Chart Sprin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0"/>
    <col customWidth="1" min="5" max="5" width="11.38"/>
    <col customWidth="1" min="6" max="6" width="29.5"/>
    <col customWidth="1" min="7" max="7" width="20.38"/>
    <col customWidth="1" min="8" max="8" width="17.25"/>
  </cols>
  <sheetData>
    <row r="5" ht="1.5" customHeight="1"/>
    <row r="6" ht="33.75" customHeight="1">
      <c r="A6" s="1" t="s">
        <v>0</v>
      </c>
      <c r="B6" s="2" t="s">
        <v>1</v>
      </c>
      <c r="C6" s="1" t="s">
        <v>2</v>
      </c>
      <c r="D6" s="3" t="s">
        <v>3</v>
      </c>
      <c r="E6" s="3" t="s">
        <v>4</v>
      </c>
      <c r="F6" s="4" t="s">
        <v>5</v>
      </c>
      <c r="G6" s="5" t="s">
        <v>6</v>
      </c>
      <c r="H6" s="5" t="s">
        <v>7</v>
      </c>
    </row>
    <row r="7" ht="22.5" customHeight="1">
      <c r="A7" s="6" t="s">
        <v>8</v>
      </c>
      <c r="B7" s="7" t="s">
        <v>9</v>
      </c>
      <c r="C7" s="8" t="s">
        <v>10</v>
      </c>
      <c r="D7" s="9">
        <v>5.0</v>
      </c>
      <c r="E7" s="9">
        <v>24.0</v>
      </c>
      <c r="F7" s="10" t="s">
        <v>11</v>
      </c>
      <c r="G7" s="11">
        <v>46276.0</v>
      </c>
      <c r="H7" s="11">
        <v>46279.0</v>
      </c>
    </row>
    <row r="8" ht="22.5" customHeight="1">
      <c r="A8" s="12" t="s">
        <v>12</v>
      </c>
      <c r="B8" s="13" t="s">
        <v>13</v>
      </c>
      <c r="C8" s="14" t="s">
        <v>14</v>
      </c>
      <c r="D8" s="15">
        <v>8.0</v>
      </c>
      <c r="E8" s="15">
        <v>40.0</v>
      </c>
      <c r="F8" s="10" t="s">
        <v>11</v>
      </c>
      <c r="G8" s="11">
        <v>46276.0</v>
      </c>
      <c r="H8" s="11">
        <v>46279.0</v>
      </c>
    </row>
    <row r="9" ht="22.5" customHeight="1">
      <c r="A9" s="6" t="s">
        <v>15</v>
      </c>
      <c r="B9" s="7" t="s">
        <v>16</v>
      </c>
      <c r="C9" s="8" t="s">
        <v>14</v>
      </c>
      <c r="D9" s="9">
        <v>8.0</v>
      </c>
      <c r="E9" s="9">
        <v>40.0</v>
      </c>
      <c r="F9" s="10" t="s">
        <v>11</v>
      </c>
      <c r="G9" s="11">
        <v>46276.0</v>
      </c>
      <c r="H9" s="11">
        <v>46279.0</v>
      </c>
    </row>
    <row r="10" ht="22.5" customHeight="1">
      <c r="A10" s="12" t="s">
        <v>17</v>
      </c>
      <c r="B10" s="13" t="s">
        <v>18</v>
      </c>
      <c r="C10" s="16" t="s">
        <v>10</v>
      </c>
      <c r="D10" s="15">
        <v>5.0</v>
      </c>
      <c r="E10" s="15">
        <v>24.0</v>
      </c>
      <c r="F10" s="17"/>
      <c r="G10" s="11">
        <v>46297.0</v>
      </c>
      <c r="H10" s="11">
        <v>46288.0</v>
      </c>
    </row>
    <row r="11" ht="22.5" customHeight="1">
      <c r="A11" s="6" t="s">
        <v>19</v>
      </c>
      <c r="B11" s="7" t="s">
        <v>20</v>
      </c>
      <c r="C11" s="8" t="s">
        <v>10</v>
      </c>
      <c r="D11" s="9">
        <v>5.0</v>
      </c>
      <c r="E11" s="9">
        <v>24.0</v>
      </c>
      <c r="F11" s="18"/>
      <c r="G11" s="11">
        <v>46297.0</v>
      </c>
      <c r="H11" s="19">
        <v>46288.0</v>
      </c>
    </row>
    <row r="12" ht="22.5" customHeight="1">
      <c r="A12" s="12" t="s">
        <v>21</v>
      </c>
      <c r="B12" s="13" t="s">
        <v>22</v>
      </c>
      <c r="C12" s="14" t="s">
        <v>10</v>
      </c>
      <c r="D12" s="15">
        <v>8.0</v>
      </c>
      <c r="E12" s="15">
        <v>40.0</v>
      </c>
      <c r="F12" s="17"/>
      <c r="G12" s="11">
        <v>46276.0</v>
      </c>
      <c r="H12" s="19">
        <v>46288.0</v>
      </c>
    </row>
    <row r="13" ht="22.5" customHeight="1">
      <c r="A13" s="6" t="s">
        <v>23</v>
      </c>
      <c r="B13" s="7" t="s">
        <v>24</v>
      </c>
      <c r="C13" s="8" t="s">
        <v>10</v>
      </c>
      <c r="D13" s="9">
        <v>3.0</v>
      </c>
      <c r="E13" s="9">
        <v>16.0</v>
      </c>
      <c r="F13" s="18"/>
      <c r="G13" s="19">
        <v>46283.0</v>
      </c>
      <c r="H13" s="19">
        <v>46288.0</v>
      </c>
    </row>
    <row r="14" ht="22.5" customHeight="1">
      <c r="A14" s="12" t="s">
        <v>25</v>
      </c>
      <c r="B14" s="13" t="s">
        <v>26</v>
      </c>
      <c r="C14" s="14" t="s">
        <v>27</v>
      </c>
      <c r="D14" s="15">
        <v>5.0</v>
      </c>
      <c r="E14" s="15">
        <v>24.0</v>
      </c>
      <c r="F14" s="17"/>
      <c r="G14" s="11">
        <v>46276.0</v>
      </c>
      <c r="H14" s="11">
        <v>46286.0</v>
      </c>
    </row>
    <row r="15" ht="22.5" customHeight="1">
      <c r="A15" s="6" t="s">
        <v>28</v>
      </c>
      <c r="B15" s="7" t="s">
        <v>29</v>
      </c>
      <c r="C15" s="8" t="s">
        <v>27</v>
      </c>
      <c r="D15" s="9">
        <v>8.0</v>
      </c>
      <c r="E15" s="9">
        <v>40.0</v>
      </c>
      <c r="F15" s="18"/>
      <c r="G15" s="11">
        <v>46297.0</v>
      </c>
      <c r="H15" s="19">
        <v>46286.0</v>
      </c>
    </row>
    <row r="16" ht="22.5" customHeight="1">
      <c r="A16" s="20" t="s">
        <v>30</v>
      </c>
      <c r="B16" s="21" t="s">
        <v>31</v>
      </c>
      <c r="C16" s="22" t="s">
        <v>14</v>
      </c>
      <c r="D16" s="23">
        <v>8.0</v>
      </c>
      <c r="E16" s="23">
        <v>40.0</v>
      </c>
      <c r="F16" s="24" t="s">
        <v>32</v>
      </c>
      <c r="G16" s="25">
        <v>46297.0</v>
      </c>
      <c r="H16" s="24" t="s">
        <v>33</v>
      </c>
    </row>
    <row r="17" ht="22.5" customHeight="1">
      <c r="A17" s="26" t="s">
        <v>34</v>
      </c>
      <c r="B17" s="27" t="s">
        <v>35</v>
      </c>
      <c r="C17" s="28" t="s">
        <v>14</v>
      </c>
      <c r="D17" s="23">
        <v>8.0</v>
      </c>
      <c r="E17" s="23">
        <v>40.0</v>
      </c>
      <c r="F17" s="29" t="s">
        <v>32</v>
      </c>
      <c r="G17" s="25">
        <v>46297.0</v>
      </c>
      <c r="H17" s="29" t="s">
        <v>33</v>
      </c>
    </row>
    <row r="18" ht="22.5" customHeight="1">
      <c r="A18" s="30" t="s">
        <v>36</v>
      </c>
      <c r="B18" s="31"/>
      <c r="C18" s="32"/>
      <c r="D18" s="33">
        <f t="shared" ref="D18:E18" si="1">SUM(D8:D17)</f>
        <v>66</v>
      </c>
      <c r="E18" s="33">
        <f t="shared" si="1"/>
        <v>328</v>
      </c>
      <c r="F18" s="34"/>
      <c r="G18" s="34"/>
      <c r="H18" s="35"/>
    </row>
    <row r="20">
      <c r="A20" s="36" t="s">
        <v>37</v>
      </c>
      <c r="B20" s="37"/>
      <c r="C20" s="37"/>
      <c r="D20" s="37"/>
      <c r="E20" s="37"/>
      <c r="F20" s="37"/>
      <c r="G20" s="37"/>
      <c r="H20" s="38"/>
    </row>
    <row r="22">
      <c r="A22" s="36" t="s">
        <v>38</v>
      </c>
      <c r="B22" s="37"/>
      <c r="C22" s="38"/>
      <c r="E22" s="36" t="s">
        <v>39</v>
      </c>
      <c r="F22" s="37"/>
      <c r="G22" s="38"/>
    </row>
    <row r="23">
      <c r="A23" s="39" t="s">
        <v>40</v>
      </c>
      <c r="B23" s="40" t="s">
        <v>41</v>
      </c>
      <c r="C23" s="41" t="s">
        <v>42</v>
      </c>
      <c r="E23" s="42" t="s">
        <v>40</v>
      </c>
      <c r="F23" s="42" t="s">
        <v>41</v>
      </c>
      <c r="G23" s="43" t="s">
        <v>42</v>
      </c>
    </row>
    <row r="24">
      <c r="A24" s="44">
        <v>46265.0</v>
      </c>
      <c r="B24" s="45">
        <f>SUM(D10+D11+D12+D13+D14+D15+D7+D8+D9)</f>
        <v>55</v>
      </c>
      <c r="C24" s="45">
        <f t="shared" ref="C24:C56" si="2">$B$24-B24</f>
        <v>0</v>
      </c>
      <c r="E24" s="44">
        <v>46265.0</v>
      </c>
      <c r="F24" s="46">
        <v>55.0</v>
      </c>
      <c r="G24" s="46">
        <v>0.0</v>
      </c>
    </row>
    <row r="25">
      <c r="A25" s="44">
        <v>46266.0</v>
      </c>
      <c r="B25" s="45">
        <f t="shared" ref="B25:B56" si="3">B24-($B$24/32)</f>
        <v>53.28125</v>
      </c>
      <c r="C25" s="45">
        <f t="shared" si="2"/>
        <v>1.71875</v>
      </c>
      <c r="E25" s="44">
        <v>46266.0</v>
      </c>
      <c r="F25" s="46">
        <v>55.0</v>
      </c>
      <c r="G25" s="46">
        <v>0.0</v>
      </c>
    </row>
    <row r="26">
      <c r="A26" s="44">
        <v>46267.0</v>
      </c>
      <c r="B26" s="45">
        <f t="shared" si="3"/>
        <v>51.5625</v>
      </c>
      <c r="C26" s="45">
        <f t="shared" si="2"/>
        <v>3.4375</v>
      </c>
      <c r="E26" s="44">
        <v>46267.0</v>
      </c>
      <c r="F26" s="46">
        <v>55.0</v>
      </c>
      <c r="G26" s="46">
        <v>0.0</v>
      </c>
    </row>
    <row r="27">
      <c r="A27" s="44">
        <v>46268.0</v>
      </c>
      <c r="B27" s="45">
        <f t="shared" si="3"/>
        <v>49.84375</v>
      </c>
      <c r="C27" s="45">
        <f t="shared" si="2"/>
        <v>5.15625</v>
      </c>
      <c r="E27" s="44">
        <v>46268.0</v>
      </c>
      <c r="F27" s="46">
        <v>55.0</v>
      </c>
      <c r="G27" s="46">
        <v>0.0</v>
      </c>
    </row>
    <row r="28">
      <c r="A28" s="44">
        <v>46269.0</v>
      </c>
      <c r="B28" s="45">
        <f t="shared" si="3"/>
        <v>48.125</v>
      </c>
      <c r="C28" s="45">
        <f t="shared" si="2"/>
        <v>6.875</v>
      </c>
      <c r="E28" s="44">
        <v>46269.0</v>
      </c>
      <c r="F28" s="46">
        <v>55.0</v>
      </c>
      <c r="G28" s="46">
        <v>0.0</v>
      </c>
    </row>
    <row r="29">
      <c r="A29" s="44">
        <v>46270.0</v>
      </c>
      <c r="B29" s="45">
        <f t="shared" si="3"/>
        <v>46.40625</v>
      </c>
      <c r="C29" s="45">
        <f t="shared" si="2"/>
        <v>8.59375</v>
      </c>
      <c r="E29" s="44">
        <v>46270.0</v>
      </c>
      <c r="F29" s="46">
        <v>55.0</v>
      </c>
      <c r="G29" s="46">
        <v>0.0</v>
      </c>
    </row>
    <row r="30">
      <c r="A30" s="44">
        <v>46271.0</v>
      </c>
      <c r="B30" s="45">
        <f t="shared" si="3"/>
        <v>44.6875</v>
      </c>
      <c r="C30" s="45">
        <f t="shared" si="2"/>
        <v>10.3125</v>
      </c>
      <c r="E30" s="44">
        <v>46271.0</v>
      </c>
      <c r="F30" s="46">
        <v>55.0</v>
      </c>
      <c r="G30" s="46">
        <v>0.0</v>
      </c>
    </row>
    <row r="31">
      <c r="A31" s="44">
        <v>46272.0</v>
      </c>
      <c r="B31" s="45">
        <f t="shared" si="3"/>
        <v>42.96875</v>
      </c>
      <c r="C31" s="45">
        <f t="shared" si="2"/>
        <v>12.03125</v>
      </c>
      <c r="E31" s="44">
        <v>46272.0</v>
      </c>
      <c r="F31" s="46">
        <v>55.0</v>
      </c>
      <c r="G31" s="46">
        <v>0.0</v>
      </c>
    </row>
    <row r="32">
      <c r="A32" s="44">
        <v>46273.0</v>
      </c>
      <c r="B32" s="45">
        <f t="shared" si="3"/>
        <v>41.25</v>
      </c>
      <c r="C32" s="45">
        <f t="shared" si="2"/>
        <v>13.75</v>
      </c>
      <c r="E32" s="44">
        <v>46273.0</v>
      </c>
      <c r="F32" s="46">
        <v>55.0</v>
      </c>
      <c r="G32" s="46">
        <v>0.0</v>
      </c>
    </row>
    <row r="33">
      <c r="A33" s="44">
        <v>46274.0</v>
      </c>
      <c r="B33" s="45">
        <f t="shared" si="3"/>
        <v>39.53125</v>
      </c>
      <c r="C33" s="45">
        <f t="shared" si="2"/>
        <v>15.46875</v>
      </c>
      <c r="E33" s="44">
        <v>46274.0</v>
      </c>
      <c r="F33" s="46">
        <v>55.0</v>
      </c>
      <c r="G33" s="46">
        <v>0.0</v>
      </c>
    </row>
    <row r="34">
      <c r="A34" s="44">
        <v>46275.0</v>
      </c>
      <c r="B34" s="45">
        <f t="shared" si="3"/>
        <v>37.8125</v>
      </c>
      <c r="C34" s="45">
        <f t="shared" si="2"/>
        <v>17.1875</v>
      </c>
      <c r="E34" s="44">
        <v>46275.0</v>
      </c>
      <c r="F34" s="46">
        <v>55.0</v>
      </c>
      <c r="G34" s="46">
        <v>0.0</v>
      </c>
    </row>
    <row r="35">
      <c r="A35" s="44">
        <v>46276.0</v>
      </c>
      <c r="B35" s="45">
        <f t="shared" si="3"/>
        <v>36.09375</v>
      </c>
      <c r="C35" s="45">
        <f t="shared" si="2"/>
        <v>18.90625</v>
      </c>
      <c r="E35" s="44">
        <v>46276.0</v>
      </c>
      <c r="F35" s="46">
        <v>55.0</v>
      </c>
      <c r="G35" s="46">
        <v>0.0</v>
      </c>
    </row>
    <row r="36">
      <c r="A36" s="44">
        <v>46277.0</v>
      </c>
      <c r="B36" s="45">
        <f t="shared" si="3"/>
        <v>34.375</v>
      </c>
      <c r="C36" s="45">
        <f t="shared" si="2"/>
        <v>20.625</v>
      </c>
      <c r="E36" s="44">
        <v>46277.0</v>
      </c>
      <c r="F36" s="46">
        <v>55.0</v>
      </c>
      <c r="G36" s="46">
        <v>0.0</v>
      </c>
    </row>
    <row r="37">
      <c r="A37" s="44">
        <v>46278.0</v>
      </c>
      <c r="B37" s="45">
        <f t="shared" si="3"/>
        <v>32.65625</v>
      </c>
      <c r="C37" s="45">
        <f t="shared" si="2"/>
        <v>22.34375</v>
      </c>
      <c r="E37" s="44">
        <v>46278.0</v>
      </c>
      <c r="F37" s="46">
        <v>55.0</v>
      </c>
      <c r="G37" s="46">
        <v>0.0</v>
      </c>
    </row>
    <row r="38">
      <c r="A38" s="44">
        <v>46279.0</v>
      </c>
      <c r="B38" s="45">
        <f t="shared" si="3"/>
        <v>30.9375</v>
      </c>
      <c r="C38" s="45">
        <f t="shared" si="2"/>
        <v>24.0625</v>
      </c>
      <c r="E38" s="44">
        <v>46279.0</v>
      </c>
      <c r="F38" s="46">
        <v>34.0</v>
      </c>
      <c r="G38" s="46">
        <v>21.0</v>
      </c>
    </row>
    <row r="39">
      <c r="A39" s="44">
        <v>46280.0</v>
      </c>
      <c r="B39" s="45">
        <f t="shared" si="3"/>
        <v>29.21875</v>
      </c>
      <c r="C39" s="45">
        <f t="shared" si="2"/>
        <v>25.78125</v>
      </c>
      <c r="E39" s="44">
        <v>46280.0</v>
      </c>
      <c r="F39" s="46">
        <v>34.0</v>
      </c>
      <c r="G39" s="46">
        <v>21.0</v>
      </c>
    </row>
    <row r="40">
      <c r="A40" s="44">
        <v>46281.0</v>
      </c>
      <c r="B40" s="45">
        <f t="shared" si="3"/>
        <v>27.5</v>
      </c>
      <c r="C40" s="45">
        <f t="shared" si="2"/>
        <v>27.5</v>
      </c>
      <c r="E40" s="44">
        <v>46281.0</v>
      </c>
      <c r="F40" s="46">
        <v>34.0</v>
      </c>
      <c r="G40" s="46">
        <v>21.0</v>
      </c>
    </row>
    <row r="41">
      <c r="A41" s="44">
        <v>46282.0</v>
      </c>
      <c r="B41" s="45">
        <f t="shared" si="3"/>
        <v>25.78125</v>
      </c>
      <c r="C41" s="45">
        <f t="shared" si="2"/>
        <v>29.21875</v>
      </c>
      <c r="E41" s="44">
        <v>46282.0</v>
      </c>
      <c r="F41" s="46">
        <v>34.0</v>
      </c>
      <c r="G41" s="46">
        <v>21.0</v>
      </c>
    </row>
    <row r="42">
      <c r="A42" s="44">
        <v>46283.0</v>
      </c>
      <c r="B42" s="45">
        <f t="shared" si="3"/>
        <v>24.0625</v>
      </c>
      <c r="C42" s="45">
        <f t="shared" si="2"/>
        <v>30.9375</v>
      </c>
      <c r="E42" s="44">
        <v>46283.0</v>
      </c>
      <c r="F42" s="46">
        <v>34.0</v>
      </c>
      <c r="G42" s="46">
        <v>21.0</v>
      </c>
    </row>
    <row r="43">
      <c r="A43" s="44">
        <v>46284.0</v>
      </c>
      <c r="B43" s="45">
        <f t="shared" si="3"/>
        <v>22.34375</v>
      </c>
      <c r="C43" s="45">
        <f t="shared" si="2"/>
        <v>32.65625</v>
      </c>
      <c r="E43" s="44">
        <v>46284.0</v>
      </c>
      <c r="F43" s="46">
        <v>34.0</v>
      </c>
      <c r="G43" s="46">
        <v>21.0</v>
      </c>
    </row>
    <row r="44">
      <c r="A44" s="44">
        <v>46285.0</v>
      </c>
      <c r="B44" s="45">
        <f t="shared" si="3"/>
        <v>20.625</v>
      </c>
      <c r="C44" s="45">
        <f t="shared" si="2"/>
        <v>34.375</v>
      </c>
      <c r="E44" s="44">
        <v>46285.0</v>
      </c>
      <c r="F44" s="46">
        <v>34.0</v>
      </c>
      <c r="G44" s="46">
        <v>21.0</v>
      </c>
    </row>
    <row r="45">
      <c r="A45" s="44">
        <v>46286.0</v>
      </c>
      <c r="B45" s="45">
        <f t="shared" si="3"/>
        <v>18.90625</v>
      </c>
      <c r="C45" s="45">
        <f t="shared" si="2"/>
        <v>36.09375</v>
      </c>
      <c r="E45" s="44">
        <v>46286.0</v>
      </c>
      <c r="F45" s="46">
        <v>21.0</v>
      </c>
      <c r="G45" s="46">
        <v>34.0</v>
      </c>
    </row>
    <row r="46">
      <c r="A46" s="44">
        <v>46287.0</v>
      </c>
      <c r="B46" s="45">
        <f t="shared" si="3"/>
        <v>17.1875</v>
      </c>
      <c r="C46" s="45">
        <f t="shared" si="2"/>
        <v>37.8125</v>
      </c>
      <c r="E46" s="44">
        <v>46287.0</v>
      </c>
      <c r="F46" s="46">
        <v>21.0</v>
      </c>
      <c r="G46" s="46">
        <v>34.0</v>
      </c>
    </row>
    <row r="47">
      <c r="A47" s="44">
        <v>46288.0</v>
      </c>
      <c r="B47" s="45">
        <f t="shared" si="3"/>
        <v>15.46875</v>
      </c>
      <c r="C47" s="45">
        <f t="shared" si="2"/>
        <v>39.53125</v>
      </c>
      <c r="E47" s="44">
        <v>46288.0</v>
      </c>
      <c r="F47" s="46">
        <v>0.0</v>
      </c>
      <c r="G47" s="46">
        <v>55.0</v>
      </c>
    </row>
    <row r="48">
      <c r="A48" s="44">
        <v>46289.0</v>
      </c>
      <c r="B48" s="45">
        <f t="shared" si="3"/>
        <v>13.75</v>
      </c>
      <c r="C48" s="45">
        <f t="shared" si="2"/>
        <v>41.25</v>
      </c>
      <c r="E48" s="44">
        <v>46289.0</v>
      </c>
      <c r="F48" s="46">
        <v>0.0</v>
      </c>
      <c r="G48" s="46">
        <v>55.0</v>
      </c>
    </row>
    <row r="49">
      <c r="A49" s="44">
        <v>46290.0</v>
      </c>
      <c r="B49" s="45">
        <f t="shared" si="3"/>
        <v>12.03125</v>
      </c>
      <c r="C49" s="45">
        <f t="shared" si="2"/>
        <v>42.96875</v>
      </c>
      <c r="E49" s="44">
        <v>46290.0</v>
      </c>
      <c r="F49" s="46">
        <v>0.0</v>
      </c>
      <c r="G49" s="46">
        <v>55.0</v>
      </c>
    </row>
    <row r="50">
      <c r="A50" s="44">
        <v>46291.0</v>
      </c>
      <c r="B50" s="45">
        <f t="shared" si="3"/>
        <v>10.3125</v>
      </c>
      <c r="C50" s="45">
        <f t="shared" si="2"/>
        <v>44.6875</v>
      </c>
      <c r="E50" s="44">
        <v>46291.0</v>
      </c>
      <c r="F50" s="46">
        <v>0.0</v>
      </c>
      <c r="G50" s="46">
        <v>55.0</v>
      </c>
    </row>
    <row r="51">
      <c r="A51" s="44">
        <v>46292.0</v>
      </c>
      <c r="B51" s="45">
        <f t="shared" si="3"/>
        <v>8.59375</v>
      </c>
      <c r="C51" s="45">
        <f t="shared" si="2"/>
        <v>46.40625</v>
      </c>
      <c r="E51" s="44">
        <v>46292.0</v>
      </c>
      <c r="F51" s="46">
        <v>0.0</v>
      </c>
      <c r="G51" s="46">
        <v>55.0</v>
      </c>
    </row>
    <row r="52">
      <c r="A52" s="44">
        <v>46293.0</v>
      </c>
      <c r="B52" s="45">
        <f t="shared" si="3"/>
        <v>6.875</v>
      </c>
      <c r="C52" s="45">
        <f t="shared" si="2"/>
        <v>48.125</v>
      </c>
      <c r="E52" s="44">
        <v>46293.0</v>
      </c>
      <c r="F52" s="46">
        <v>0.0</v>
      </c>
      <c r="G52" s="46">
        <v>55.0</v>
      </c>
    </row>
    <row r="53">
      <c r="A53" s="44">
        <v>46294.0</v>
      </c>
      <c r="B53" s="45">
        <f t="shared" si="3"/>
        <v>5.15625</v>
      </c>
      <c r="C53" s="45">
        <f t="shared" si="2"/>
        <v>49.84375</v>
      </c>
      <c r="E53" s="44">
        <v>46294.0</v>
      </c>
      <c r="F53" s="46">
        <v>0.0</v>
      </c>
      <c r="G53" s="46">
        <v>55.0</v>
      </c>
    </row>
    <row r="54">
      <c r="A54" s="44">
        <v>46295.0</v>
      </c>
      <c r="B54" s="45">
        <f t="shared" si="3"/>
        <v>3.4375</v>
      </c>
      <c r="C54" s="45">
        <f t="shared" si="2"/>
        <v>51.5625</v>
      </c>
      <c r="E54" s="44">
        <v>46295.0</v>
      </c>
      <c r="F54" s="46">
        <v>0.0</v>
      </c>
      <c r="G54" s="46">
        <v>55.0</v>
      </c>
    </row>
    <row r="55">
      <c r="A55" s="44">
        <v>46296.0</v>
      </c>
      <c r="B55" s="45">
        <f t="shared" si="3"/>
        <v>1.71875</v>
      </c>
      <c r="C55" s="45">
        <f t="shared" si="2"/>
        <v>53.28125</v>
      </c>
      <c r="E55" s="44">
        <v>46296.0</v>
      </c>
      <c r="F55" s="46">
        <v>0.0</v>
      </c>
      <c r="G55" s="46">
        <v>55.0</v>
      </c>
    </row>
    <row r="56">
      <c r="A56" s="44">
        <v>46297.0</v>
      </c>
      <c r="B56" s="45">
        <f t="shared" si="3"/>
        <v>0</v>
      </c>
      <c r="C56" s="45">
        <f t="shared" si="2"/>
        <v>55</v>
      </c>
      <c r="E56" s="44">
        <v>46297.0</v>
      </c>
      <c r="F56" s="46">
        <v>0.0</v>
      </c>
      <c r="G56" s="46">
        <v>55.0</v>
      </c>
    </row>
    <row r="57">
      <c r="B57" s="47"/>
    </row>
    <row r="58">
      <c r="B58" s="47"/>
    </row>
    <row r="59">
      <c r="B59" s="47"/>
    </row>
    <row r="60">
      <c r="B60" s="47"/>
    </row>
    <row r="61">
      <c r="B61" s="47"/>
    </row>
  </sheetData>
  <mergeCells count="3">
    <mergeCell ref="A20:H20"/>
    <mergeCell ref="A22:C22"/>
    <mergeCell ref="E22:G22"/>
  </mergeCells>
  <dataValidations>
    <dataValidation type="custom" allowBlank="1" showDropDown="1" sqref="D7:E18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