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diment Log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'Impediment Log'!$A$1:$L$501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0" pivotButton="0" quotePrefix="0" xfId="0"/>
    <xf numFmtId="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Impedimentos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'Resumen'!$A$13:$A$19</f>
            </numRef>
          </cat>
          <val>
            <numRef>
              <f>'Resumen'!$B$13:$B$19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52" customWidth="1" min="4" max="4"/>
    <col width="22" customWidth="1" min="5" max="5"/>
    <col width="14" customWidth="1" min="6" max="6"/>
    <col width="12" customWidth="1" min="7" max="7"/>
    <col width="18" customWidth="1" min="8" max="8"/>
    <col width="16" customWidth="1" min="9" max="9"/>
    <col width="16" customWidth="1" min="10" max="10"/>
    <col width="52" customWidth="1" min="11" max="11"/>
    <col width="16" customWidth="1" min="12" max="12"/>
  </cols>
  <sheetData>
    <row r="1" ht="28" customHeight="1">
      <c r="A1" s="1" t="inlineStr">
        <is>
          <t>ID</t>
        </is>
      </c>
      <c r="B1" s="1" t="inlineStr">
        <is>
          <t>Fecha</t>
        </is>
      </c>
      <c r="C1" s="1" t="inlineStr">
        <is>
          <t>Sprint</t>
        </is>
      </c>
      <c r="D1" s="1" t="inlineStr">
        <is>
          <t>Impedimento</t>
        </is>
      </c>
      <c r="E1" s="1" t="inlineStr">
        <is>
          <t>Tipo</t>
        </is>
      </c>
      <c r="F1" s="1" t="inlineStr">
        <is>
          <t>Impacto</t>
        </is>
      </c>
      <c r="G1" s="1" t="inlineStr">
        <is>
          <t>Prioridad</t>
        </is>
      </c>
      <c r="H1" s="1" t="inlineStr">
        <is>
          <t>Responsable</t>
        </is>
      </c>
      <c r="I1" s="1" t="inlineStr">
        <is>
          <t>Estado</t>
        </is>
      </c>
      <c r="J1" s="1" t="inlineStr">
        <is>
          <t>Fecha resolución</t>
        </is>
      </c>
      <c r="K1" s="1" t="inlineStr">
        <is>
          <t>Resolución / Acción tomada</t>
        </is>
      </c>
      <c r="L1" s="1" t="inlineStr">
        <is>
          <t>Días bloqueado</t>
        </is>
      </c>
    </row>
    <row r="2">
      <c r="A2" s="2" t="inlineStr">
        <is>
          <t>IMP-001</t>
        </is>
      </c>
      <c r="B2" s="3" t="inlineStr">
        <is>
          <t>16-09-2026</t>
        </is>
      </c>
      <c r="C2" s="2" t="inlineStr">
        <is>
          <t>S4</t>
        </is>
      </c>
      <c r="D2" s="2" t="inlineStr">
        <is>
          <t>EJEMPLO: Demora en la obtención del token de la API de Mercado Público</t>
        </is>
      </c>
      <c r="E2" s="2" t="inlineStr">
        <is>
          <t>Dependencia externa</t>
        </is>
      </c>
      <c r="F2" s="2" t="inlineStr">
        <is>
          <t>Alto</t>
        </is>
      </c>
      <c r="G2" s="2" t="inlineStr">
        <is>
          <t>Alta</t>
        </is>
      </c>
      <c r="H2" s="2" t="inlineStr">
        <is>
          <t>Equipo</t>
        </is>
      </c>
      <c r="I2" s="2" t="inlineStr">
        <is>
          <t>Resuelto</t>
        </is>
      </c>
      <c r="J2" s="3" t="inlineStr">
        <is>
          <t>16-09-2026</t>
        </is>
      </c>
      <c r="K2" s="2" t="inlineStr">
        <is>
          <t>EJEMPLO: Se realizó solicitud mediante ticket a Mercado Público.</t>
        </is>
      </c>
      <c r="L2" s="4">
        <f>IF(B2="","",IF(J2&lt;&gt;"",MAX(0,J2-B2),MAX(0,TODAY()-B2)))</f>
        <v/>
      </c>
    </row>
    <row r="3">
      <c r="A3" s="2" t="inlineStr">
        <is>
          <t>IMP-002</t>
        </is>
      </c>
      <c r="B3" s="3" t="inlineStr">
        <is>
          <t>16-09-2026</t>
        </is>
      </c>
      <c r="C3" s="2" t="inlineStr">
        <is>
          <t>S4</t>
        </is>
      </c>
      <c r="D3" s="2" t="inlineStr">
        <is>
          <t>EJEMPLO: Problemas de conexión entre Django y el Data Warehouse</t>
        </is>
      </c>
      <c r="E3" s="2" t="inlineStr">
        <is>
          <t>Técnico</t>
        </is>
      </c>
      <c r="F3" s="2" t="inlineStr">
        <is>
          <t>Alto</t>
        </is>
      </c>
      <c r="G3" s="2" t="inlineStr">
        <is>
          <t>Alta</t>
        </is>
      </c>
      <c r="H3" s="2" t="inlineStr">
        <is>
          <t>Equipo</t>
        </is>
      </c>
      <c r="I3" s="2" t="inlineStr">
        <is>
          <t>Resuelto</t>
        </is>
      </c>
      <c r="J3" s="3" t="inlineStr">
        <is>
          <t>15-09-2026</t>
        </is>
      </c>
      <c r="K3" s="2" t="inlineStr">
        <is>
          <t>EJEMPLO: Se corrigió la configuración de conexión a la BD del DW.</t>
        </is>
      </c>
      <c r="L3" s="4">
        <f>IF(B3="","",IF(J3&lt;&gt;"",MAX(0,J3-B3),MAX(0,TODAY()-B3)))</f>
        <v/>
      </c>
    </row>
    <row r="4">
      <c r="A4" s="2" t="inlineStr">
        <is>
          <t>IMP-003</t>
        </is>
      </c>
      <c r="B4" s="3" t="inlineStr">
        <is>
          <t>16-09-2026</t>
        </is>
      </c>
      <c r="C4" s="2" t="inlineStr">
        <is>
          <t>S5</t>
        </is>
      </c>
      <c r="D4" s="2" t="inlineStr">
        <is>
          <t>EJEMPLO: Falta de definición del servicio de hosting</t>
        </is>
      </c>
      <c r="E4" s="2" t="inlineStr">
        <is>
          <t>Infraestructura</t>
        </is>
      </c>
      <c r="F4" s="2" t="inlineStr">
        <is>
          <t>Medio</t>
        </is>
      </c>
      <c r="G4" s="2" t="inlineStr">
        <is>
          <t>Media</t>
        </is>
      </c>
      <c r="H4" s="2" t="inlineStr">
        <is>
          <t>Equipo</t>
        </is>
      </c>
      <c r="I4" s="2" t="inlineStr">
        <is>
          <t>Pendiente</t>
        </is>
      </c>
      <c r="J4" s="3" t="inlineStr"/>
      <c r="K4" s="2" t="inlineStr">
        <is>
          <t>EJEMPLO: Comparar alternativas y definir proveedor.</t>
        </is>
      </c>
      <c r="L4" s="4">
        <f>IF(B4="","",IF(J4&lt;&gt;"",MAX(0,J4-B4),MAX(0,TODAY()-B4)))</f>
        <v/>
      </c>
    </row>
    <row r="5">
      <c r="B5" s="5" t="n"/>
      <c r="J5" s="5" t="n"/>
      <c r="L5" s="6">
        <f>IF(B5="","",IF(J5&lt;&gt;"",MAX(0,J5-B5),MAX(0,TODAY()-B5)))</f>
        <v/>
      </c>
    </row>
    <row r="6">
      <c r="B6" s="5" t="n"/>
      <c r="J6" s="5" t="n"/>
      <c r="L6" s="6">
        <f>IF(B6="","",IF(J6&lt;&gt;"",MAX(0,J6-B6),MAX(0,TODAY()-B6)))</f>
        <v/>
      </c>
    </row>
    <row r="7">
      <c r="B7" s="5" t="n"/>
      <c r="J7" s="5" t="n"/>
      <c r="L7" s="6">
        <f>IF(B7="","",IF(J7&lt;&gt;"",MAX(0,J7-B7),MAX(0,TODAY()-B7)))</f>
        <v/>
      </c>
    </row>
    <row r="8">
      <c r="B8" s="5" t="n"/>
      <c r="J8" s="5" t="n"/>
      <c r="L8" s="6">
        <f>IF(B8="","",IF(J8&lt;&gt;"",MAX(0,J8-B8),MAX(0,TODAY()-B8)))</f>
        <v/>
      </c>
    </row>
    <row r="9">
      <c r="B9" s="5" t="n"/>
      <c r="J9" s="5" t="n"/>
      <c r="L9" s="6">
        <f>IF(B9="","",IF(J9&lt;&gt;"",MAX(0,J9-B9),MAX(0,TODAY()-B9)))</f>
        <v/>
      </c>
    </row>
    <row r="10">
      <c r="B10" s="5" t="n"/>
      <c r="J10" s="5" t="n"/>
      <c r="L10" s="6">
        <f>IF(B10="","",IF(J10&lt;&gt;"",MAX(0,J10-B10),MAX(0,TODAY()-B10)))</f>
        <v/>
      </c>
    </row>
    <row r="11">
      <c r="B11" s="5" t="n"/>
      <c r="J11" s="5" t="n"/>
      <c r="L11" s="6">
        <f>IF(B11="","",IF(J11&lt;&gt;"",MAX(0,J11-B11),MAX(0,TODAY()-B11)))</f>
        <v/>
      </c>
    </row>
    <row r="12">
      <c r="B12" s="5" t="n"/>
      <c r="J12" s="5" t="n"/>
      <c r="L12" s="6">
        <f>IF(B12="","",IF(J12&lt;&gt;"",MAX(0,J12-B12),MAX(0,TODAY()-B12)))</f>
        <v/>
      </c>
    </row>
    <row r="13">
      <c r="B13" s="5" t="n"/>
      <c r="J13" s="5" t="n"/>
      <c r="L13" s="6">
        <f>IF(B13="","",IF(J13&lt;&gt;"",MAX(0,J13-B13),MAX(0,TODAY()-B13)))</f>
        <v/>
      </c>
    </row>
    <row r="14">
      <c r="B14" s="5" t="n"/>
      <c r="J14" s="5" t="n"/>
      <c r="L14" s="6">
        <f>IF(B14="","",IF(J14&lt;&gt;"",MAX(0,J14-B14),MAX(0,TODAY()-B14)))</f>
        <v/>
      </c>
    </row>
    <row r="15">
      <c r="B15" s="5" t="n"/>
      <c r="J15" s="5" t="n"/>
      <c r="L15" s="6">
        <f>IF(B15="","",IF(J15&lt;&gt;"",MAX(0,J15-B15),MAX(0,TODAY()-B15)))</f>
        <v/>
      </c>
    </row>
    <row r="16">
      <c r="B16" s="5" t="n"/>
      <c r="J16" s="5" t="n"/>
      <c r="L16" s="6">
        <f>IF(B16="","",IF(J16&lt;&gt;"",MAX(0,J16-B16),MAX(0,TODAY()-B16)))</f>
        <v/>
      </c>
    </row>
    <row r="17">
      <c r="B17" s="5" t="n"/>
      <c r="J17" s="5" t="n"/>
      <c r="L17" s="6">
        <f>IF(B17="","",IF(J17&lt;&gt;"",MAX(0,J17-B17),MAX(0,TODAY()-B17)))</f>
        <v/>
      </c>
    </row>
    <row r="18">
      <c r="B18" s="5" t="n"/>
      <c r="J18" s="5" t="n"/>
      <c r="L18" s="6">
        <f>IF(B18="","",IF(J18&lt;&gt;"",MAX(0,J18-B18),MAX(0,TODAY()-B18)))</f>
        <v/>
      </c>
    </row>
    <row r="19">
      <c r="B19" s="5" t="n"/>
      <c r="J19" s="5" t="n"/>
      <c r="L19" s="6">
        <f>IF(B19="","",IF(J19&lt;&gt;"",MAX(0,J19-B19),MAX(0,TODAY()-B19)))</f>
        <v/>
      </c>
    </row>
    <row r="20">
      <c r="B20" s="5" t="n"/>
      <c r="J20" s="5" t="n"/>
      <c r="L20" s="6">
        <f>IF(B20="","",IF(J20&lt;&gt;"",MAX(0,J20-B20),MAX(0,TODAY()-B20)))</f>
        <v/>
      </c>
    </row>
    <row r="21">
      <c r="B21" s="5" t="n"/>
      <c r="J21" s="5" t="n"/>
      <c r="L21" s="6">
        <f>IF(B21="","",IF(J21&lt;&gt;"",MAX(0,J21-B21),MAX(0,TODAY()-B21)))</f>
        <v/>
      </c>
    </row>
    <row r="22">
      <c r="B22" s="5" t="n"/>
      <c r="J22" s="5" t="n"/>
      <c r="L22" s="6">
        <f>IF(B22="","",IF(J22&lt;&gt;"",MAX(0,J22-B22),MAX(0,TODAY()-B22)))</f>
        <v/>
      </c>
    </row>
    <row r="23">
      <c r="B23" s="5" t="n"/>
      <c r="J23" s="5" t="n"/>
      <c r="L23" s="6">
        <f>IF(B23="","",IF(J23&lt;&gt;"",MAX(0,J23-B23),MAX(0,TODAY()-B23)))</f>
        <v/>
      </c>
    </row>
    <row r="24">
      <c r="B24" s="5" t="n"/>
      <c r="J24" s="5" t="n"/>
      <c r="L24" s="6">
        <f>IF(B24="","",IF(J24&lt;&gt;"",MAX(0,J24-B24),MAX(0,TODAY()-B24)))</f>
        <v/>
      </c>
    </row>
    <row r="25">
      <c r="B25" s="5" t="n"/>
      <c r="J25" s="5" t="n"/>
      <c r="L25" s="6">
        <f>IF(B25="","",IF(J25&lt;&gt;"",MAX(0,J25-B25),MAX(0,TODAY()-B25)))</f>
        <v/>
      </c>
    </row>
    <row r="26">
      <c r="B26" s="5" t="n"/>
      <c r="J26" s="5" t="n"/>
      <c r="L26" s="6">
        <f>IF(B26="","",IF(J26&lt;&gt;"",MAX(0,J26-B26),MAX(0,TODAY()-B26)))</f>
        <v/>
      </c>
    </row>
    <row r="27">
      <c r="B27" s="5" t="n"/>
      <c r="J27" s="5" t="n"/>
      <c r="L27" s="6">
        <f>IF(B27="","",IF(J27&lt;&gt;"",MAX(0,J27-B27),MAX(0,TODAY()-B27)))</f>
        <v/>
      </c>
    </row>
    <row r="28">
      <c r="B28" s="5" t="n"/>
      <c r="J28" s="5" t="n"/>
      <c r="L28" s="6">
        <f>IF(B28="","",IF(J28&lt;&gt;"",MAX(0,J28-B28),MAX(0,TODAY()-B28)))</f>
        <v/>
      </c>
    </row>
    <row r="29">
      <c r="B29" s="5" t="n"/>
      <c r="J29" s="5" t="n"/>
      <c r="L29" s="6">
        <f>IF(B29="","",IF(J29&lt;&gt;"",MAX(0,J29-B29),MAX(0,TODAY()-B29)))</f>
        <v/>
      </c>
    </row>
    <row r="30">
      <c r="B30" s="5" t="n"/>
      <c r="J30" s="5" t="n"/>
      <c r="L30" s="6">
        <f>IF(B30="","",IF(J30&lt;&gt;"",MAX(0,J30-B30),MAX(0,TODAY()-B30)))</f>
        <v/>
      </c>
    </row>
    <row r="31">
      <c r="B31" s="5" t="n"/>
      <c r="J31" s="5" t="n"/>
      <c r="L31" s="6">
        <f>IF(B31="","",IF(J31&lt;&gt;"",MAX(0,J31-B31),MAX(0,TODAY()-B31)))</f>
        <v/>
      </c>
    </row>
    <row r="32">
      <c r="B32" s="5" t="n"/>
      <c r="J32" s="5" t="n"/>
      <c r="L32" s="6">
        <f>IF(B32="","",IF(J32&lt;&gt;"",MAX(0,J32-B32),MAX(0,TODAY()-B32)))</f>
        <v/>
      </c>
    </row>
    <row r="33">
      <c r="B33" s="5" t="n"/>
      <c r="J33" s="5" t="n"/>
      <c r="L33" s="6">
        <f>IF(B33="","",IF(J33&lt;&gt;"",MAX(0,J33-B33),MAX(0,TODAY()-B33)))</f>
        <v/>
      </c>
    </row>
    <row r="34">
      <c r="B34" s="5" t="n"/>
      <c r="J34" s="5" t="n"/>
      <c r="L34" s="6">
        <f>IF(B34="","",IF(J34&lt;&gt;"",MAX(0,J34-B34),MAX(0,TODAY()-B34)))</f>
        <v/>
      </c>
    </row>
    <row r="35">
      <c r="B35" s="5" t="n"/>
      <c r="J35" s="5" t="n"/>
      <c r="L35" s="6">
        <f>IF(B35="","",IF(J35&lt;&gt;"",MAX(0,J35-B35),MAX(0,TODAY()-B35)))</f>
        <v/>
      </c>
    </row>
    <row r="36">
      <c r="B36" s="5" t="n"/>
      <c r="J36" s="5" t="n"/>
      <c r="L36" s="6">
        <f>IF(B36="","",IF(J36&lt;&gt;"",MAX(0,J36-B36),MAX(0,TODAY()-B36)))</f>
        <v/>
      </c>
    </row>
    <row r="37">
      <c r="B37" s="5" t="n"/>
      <c r="J37" s="5" t="n"/>
      <c r="L37" s="6">
        <f>IF(B37="","",IF(J37&lt;&gt;"",MAX(0,J37-B37),MAX(0,TODAY()-B37)))</f>
        <v/>
      </c>
    </row>
    <row r="38">
      <c r="B38" s="5" t="n"/>
      <c r="J38" s="5" t="n"/>
      <c r="L38" s="6">
        <f>IF(B38="","",IF(J38&lt;&gt;"",MAX(0,J38-B38),MAX(0,TODAY()-B38)))</f>
        <v/>
      </c>
    </row>
    <row r="39">
      <c r="B39" s="5" t="n"/>
      <c r="J39" s="5" t="n"/>
      <c r="L39" s="6">
        <f>IF(B39="","",IF(J39&lt;&gt;"",MAX(0,J39-B39),MAX(0,TODAY()-B39)))</f>
        <v/>
      </c>
    </row>
    <row r="40">
      <c r="B40" s="5" t="n"/>
      <c r="J40" s="5" t="n"/>
      <c r="L40" s="6">
        <f>IF(B40="","",IF(J40&lt;&gt;"",MAX(0,J40-B40),MAX(0,TODAY()-B40)))</f>
        <v/>
      </c>
    </row>
    <row r="41">
      <c r="B41" s="5" t="n"/>
      <c r="J41" s="5" t="n"/>
      <c r="L41" s="6">
        <f>IF(B41="","",IF(J41&lt;&gt;"",MAX(0,J41-B41),MAX(0,TODAY()-B41)))</f>
        <v/>
      </c>
    </row>
    <row r="42">
      <c r="B42" s="5" t="n"/>
      <c r="J42" s="5" t="n"/>
      <c r="L42" s="6">
        <f>IF(B42="","",IF(J42&lt;&gt;"",MAX(0,J42-B42),MAX(0,TODAY()-B42)))</f>
        <v/>
      </c>
    </row>
    <row r="43">
      <c r="B43" s="5" t="n"/>
      <c r="J43" s="5" t="n"/>
      <c r="L43" s="6">
        <f>IF(B43="","",IF(J43&lt;&gt;"",MAX(0,J43-B43),MAX(0,TODAY()-B43)))</f>
        <v/>
      </c>
    </row>
    <row r="44">
      <c r="B44" s="5" t="n"/>
      <c r="J44" s="5" t="n"/>
      <c r="L44" s="6">
        <f>IF(B44="","",IF(J44&lt;&gt;"",MAX(0,J44-B44),MAX(0,TODAY()-B44)))</f>
        <v/>
      </c>
    </row>
    <row r="45">
      <c r="B45" s="5" t="n"/>
      <c r="J45" s="5" t="n"/>
      <c r="L45" s="6">
        <f>IF(B45="","",IF(J45&lt;&gt;"",MAX(0,J45-B45),MAX(0,TODAY()-B45)))</f>
        <v/>
      </c>
    </row>
    <row r="46">
      <c r="B46" s="5" t="n"/>
      <c r="J46" s="5" t="n"/>
      <c r="L46" s="6">
        <f>IF(B46="","",IF(J46&lt;&gt;"",MAX(0,J46-B46),MAX(0,TODAY()-B46)))</f>
        <v/>
      </c>
    </row>
    <row r="47">
      <c r="B47" s="5" t="n"/>
      <c r="J47" s="5" t="n"/>
      <c r="L47" s="6">
        <f>IF(B47="","",IF(J47&lt;&gt;"",MAX(0,J47-B47),MAX(0,TODAY()-B47)))</f>
        <v/>
      </c>
    </row>
    <row r="48">
      <c r="B48" s="5" t="n"/>
      <c r="J48" s="5" t="n"/>
      <c r="L48" s="6">
        <f>IF(B48="","",IF(J48&lt;&gt;"",MAX(0,J48-B48),MAX(0,TODAY()-B48)))</f>
        <v/>
      </c>
    </row>
    <row r="49">
      <c r="B49" s="5" t="n"/>
      <c r="J49" s="5" t="n"/>
      <c r="L49" s="6">
        <f>IF(B49="","",IF(J49&lt;&gt;"",MAX(0,J49-B49),MAX(0,TODAY()-B49)))</f>
        <v/>
      </c>
    </row>
    <row r="50">
      <c r="B50" s="5" t="n"/>
      <c r="J50" s="5" t="n"/>
      <c r="L50" s="6">
        <f>IF(B50="","",IF(J50&lt;&gt;"",MAX(0,J50-B50),MAX(0,TODAY()-B50)))</f>
        <v/>
      </c>
    </row>
    <row r="51">
      <c r="B51" s="5" t="n"/>
      <c r="J51" s="5" t="n"/>
      <c r="L51" s="6">
        <f>IF(B51="","",IF(J51&lt;&gt;"",MAX(0,J51-B51),MAX(0,TODAY()-B51)))</f>
        <v/>
      </c>
    </row>
    <row r="52">
      <c r="B52" s="5" t="n"/>
      <c r="J52" s="5" t="n"/>
      <c r="L52" s="6">
        <f>IF(B52="","",IF(J52&lt;&gt;"",MAX(0,J52-B52),MAX(0,TODAY()-B52)))</f>
        <v/>
      </c>
    </row>
    <row r="53">
      <c r="B53" s="5" t="n"/>
      <c r="J53" s="5" t="n"/>
      <c r="L53" s="6">
        <f>IF(B53="","",IF(J53&lt;&gt;"",MAX(0,J53-B53),MAX(0,TODAY()-B53)))</f>
        <v/>
      </c>
    </row>
    <row r="54">
      <c r="B54" s="5" t="n"/>
      <c r="J54" s="5" t="n"/>
      <c r="L54" s="6">
        <f>IF(B54="","",IF(J54&lt;&gt;"",MAX(0,J54-B54),MAX(0,TODAY()-B54)))</f>
        <v/>
      </c>
    </row>
    <row r="55">
      <c r="B55" s="5" t="n"/>
      <c r="J55" s="5" t="n"/>
      <c r="L55" s="6">
        <f>IF(B55="","",IF(J55&lt;&gt;"",MAX(0,J55-B55),MAX(0,TODAY()-B55)))</f>
        <v/>
      </c>
    </row>
    <row r="56">
      <c r="B56" s="5" t="n"/>
      <c r="J56" s="5" t="n"/>
      <c r="L56" s="6">
        <f>IF(B56="","",IF(J56&lt;&gt;"",MAX(0,J56-B56),MAX(0,TODAY()-B56)))</f>
        <v/>
      </c>
    </row>
    <row r="57">
      <c r="B57" s="5" t="n"/>
      <c r="J57" s="5" t="n"/>
      <c r="L57" s="6">
        <f>IF(B57="","",IF(J57&lt;&gt;"",MAX(0,J57-B57),MAX(0,TODAY()-B57)))</f>
        <v/>
      </c>
    </row>
    <row r="58">
      <c r="B58" s="5" t="n"/>
      <c r="J58" s="5" t="n"/>
      <c r="L58" s="6">
        <f>IF(B58="","",IF(J58&lt;&gt;"",MAX(0,J58-B58),MAX(0,TODAY()-B58)))</f>
        <v/>
      </c>
    </row>
    <row r="59">
      <c r="B59" s="5" t="n"/>
      <c r="J59" s="5" t="n"/>
      <c r="L59" s="6">
        <f>IF(B59="","",IF(J59&lt;&gt;"",MAX(0,J59-B59),MAX(0,TODAY()-B59)))</f>
        <v/>
      </c>
    </row>
    <row r="60">
      <c r="B60" s="5" t="n"/>
      <c r="J60" s="5" t="n"/>
      <c r="L60" s="6">
        <f>IF(B60="","",IF(J60&lt;&gt;"",MAX(0,J60-B60),MAX(0,TODAY()-B60)))</f>
        <v/>
      </c>
    </row>
    <row r="61">
      <c r="B61" s="5" t="n"/>
      <c r="J61" s="5" t="n"/>
      <c r="L61" s="6">
        <f>IF(B61="","",IF(J61&lt;&gt;"",MAX(0,J61-B61),MAX(0,TODAY()-B61)))</f>
        <v/>
      </c>
    </row>
    <row r="62">
      <c r="B62" s="5" t="n"/>
      <c r="J62" s="5" t="n"/>
      <c r="L62" s="6">
        <f>IF(B62="","",IF(J62&lt;&gt;"",MAX(0,J62-B62),MAX(0,TODAY()-B62)))</f>
        <v/>
      </c>
    </row>
    <row r="63">
      <c r="B63" s="5" t="n"/>
      <c r="J63" s="5" t="n"/>
      <c r="L63" s="6">
        <f>IF(B63="","",IF(J63&lt;&gt;"",MAX(0,J63-B63),MAX(0,TODAY()-B63)))</f>
        <v/>
      </c>
    </row>
    <row r="64">
      <c r="B64" s="5" t="n"/>
      <c r="J64" s="5" t="n"/>
      <c r="L64" s="6">
        <f>IF(B64="","",IF(J64&lt;&gt;"",MAX(0,J64-B64),MAX(0,TODAY()-B64)))</f>
        <v/>
      </c>
    </row>
    <row r="65">
      <c r="B65" s="5" t="n"/>
      <c r="J65" s="5" t="n"/>
      <c r="L65" s="6">
        <f>IF(B65="","",IF(J65&lt;&gt;"",MAX(0,J65-B65),MAX(0,TODAY()-B65)))</f>
        <v/>
      </c>
    </row>
    <row r="66">
      <c r="B66" s="5" t="n"/>
      <c r="J66" s="5" t="n"/>
      <c r="L66" s="6">
        <f>IF(B66="","",IF(J66&lt;&gt;"",MAX(0,J66-B66),MAX(0,TODAY()-B66)))</f>
        <v/>
      </c>
    </row>
    <row r="67">
      <c r="B67" s="5" t="n"/>
      <c r="J67" s="5" t="n"/>
      <c r="L67" s="6">
        <f>IF(B67="","",IF(J67&lt;&gt;"",MAX(0,J67-B67),MAX(0,TODAY()-B67)))</f>
        <v/>
      </c>
    </row>
    <row r="68">
      <c r="B68" s="5" t="n"/>
      <c r="J68" s="5" t="n"/>
      <c r="L68" s="6">
        <f>IF(B68="","",IF(J68&lt;&gt;"",MAX(0,J68-B68),MAX(0,TODAY()-B68)))</f>
        <v/>
      </c>
    </row>
    <row r="69">
      <c r="B69" s="5" t="n"/>
      <c r="J69" s="5" t="n"/>
      <c r="L69" s="6">
        <f>IF(B69="","",IF(J69&lt;&gt;"",MAX(0,J69-B69),MAX(0,TODAY()-B69)))</f>
        <v/>
      </c>
    </row>
    <row r="70">
      <c r="B70" s="5" t="n"/>
      <c r="J70" s="5" t="n"/>
      <c r="L70" s="6">
        <f>IF(B70="","",IF(J70&lt;&gt;"",MAX(0,J70-B70),MAX(0,TODAY()-B70)))</f>
        <v/>
      </c>
    </row>
    <row r="71">
      <c r="B71" s="5" t="n"/>
      <c r="J71" s="5" t="n"/>
      <c r="L71" s="6">
        <f>IF(B71="","",IF(J71&lt;&gt;"",MAX(0,J71-B71),MAX(0,TODAY()-B71)))</f>
        <v/>
      </c>
    </row>
    <row r="72">
      <c r="B72" s="5" t="n"/>
      <c r="J72" s="5" t="n"/>
      <c r="L72" s="6">
        <f>IF(B72="","",IF(J72&lt;&gt;"",MAX(0,J72-B72),MAX(0,TODAY()-B72)))</f>
        <v/>
      </c>
    </row>
    <row r="73">
      <c r="B73" s="5" t="n"/>
      <c r="J73" s="5" t="n"/>
      <c r="L73" s="6">
        <f>IF(B73="","",IF(J73&lt;&gt;"",MAX(0,J73-B73),MAX(0,TODAY()-B73)))</f>
        <v/>
      </c>
    </row>
    <row r="74">
      <c r="B74" s="5" t="n"/>
      <c r="J74" s="5" t="n"/>
      <c r="L74" s="6">
        <f>IF(B74="","",IF(J74&lt;&gt;"",MAX(0,J74-B74),MAX(0,TODAY()-B74)))</f>
        <v/>
      </c>
    </row>
    <row r="75">
      <c r="B75" s="5" t="n"/>
      <c r="J75" s="5" t="n"/>
      <c r="L75" s="6">
        <f>IF(B75="","",IF(J75&lt;&gt;"",MAX(0,J75-B75),MAX(0,TODAY()-B75)))</f>
        <v/>
      </c>
    </row>
    <row r="76">
      <c r="B76" s="5" t="n"/>
      <c r="J76" s="5" t="n"/>
      <c r="L76" s="6">
        <f>IF(B76="","",IF(J76&lt;&gt;"",MAX(0,J76-B76),MAX(0,TODAY()-B76)))</f>
        <v/>
      </c>
    </row>
    <row r="77">
      <c r="B77" s="5" t="n"/>
      <c r="J77" s="5" t="n"/>
      <c r="L77" s="6">
        <f>IF(B77="","",IF(J77&lt;&gt;"",MAX(0,J77-B77),MAX(0,TODAY()-B77)))</f>
        <v/>
      </c>
    </row>
    <row r="78">
      <c r="B78" s="5" t="n"/>
      <c r="J78" s="5" t="n"/>
      <c r="L78" s="6">
        <f>IF(B78="","",IF(J78&lt;&gt;"",MAX(0,J78-B78),MAX(0,TODAY()-B78)))</f>
        <v/>
      </c>
    </row>
    <row r="79">
      <c r="B79" s="5" t="n"/>
      <c r="J79" s="5" t="n"/>
      <c r="L79" s="6">
        <f>IF(B79="","",IF(J79&lt;&gt;"",MAX(0,J79-B79),MAX(0,TODAY()-B79)))</f>
        <v/>
      </c>
    </row>
    <row r="80">
      <c r="B80" s="5" t="n"/>
      <c r="J80" s="5" t="n"/>
      <c r="L80" s="6">
        <f>IF(B80="","",IF(J80&lt;&gt;"",MAX(0,J80-B80),MAX(0,TODAY()-B80)))</f>
        <v/>
      </c>
    </row>
    <row r="81">
      <c r="B81" s="5" t="n"/>
      <c r="J81" s="5" t="n"/>
      <c r="L81" s="6">
        <f>IF(B81="","",IF(J81&lt;&gt;"",MAX(0,J81-B81),MAX(0,TODAY()-B81)))</f>
        <v/>
      </c>
    </row>
    <row r="82">
      <c r="B82" s="5" t="n"/>
      <c r="J82" s="5" t="n"/>
      <c r="L82" s="6">
        <f>IF(B82="","",IF(J82&lt;&gt;"",MAX(0,J82-B82),MAX(0,TODAY()-B82)))</f>
        <v/>
      </c>
    </row>
    <row r="83">
      <c r="B83" s="5" t="n"/>
      <c r="J83" s="5" t="n"/>
      <c r="L83" s="6">
        <f>IF(B83="","",IF(J83&lt;&gt;"",MAX(0,J83-B83),MAX(0,TODAY()-B83)))</f>
        <v/>
      </c>
    </row>
    <row r="84">
      <c r="B84" s="5" t="n"/>
      <c r="J84" s="5" t="n"/>
      <c r="L84" s="6">
        <f>IF(B84="","",IF(J84&lt;&gt;"",MAX(0,J84-B84),MAX(0,TODAY()-B84)))</f>
        <v/>
      </c>
    </row>
    <row r="85">
      <c r="B85" s="5" t="n"/>
      <c r="J85" s="5" t="n"/>
      <c r="L85" s="6">
        <f>IF(B85="","",IF(J85&lt;&gt;"",MAX(0,J85-B85),MAX(0,TODAY()-B85)))</f>
        <v/>
      </c>
    </row>
    <row r="86">
      <c r="B86" s="5" t="n"/>
      <c r="J86" s="5" t="n"/>
      <c r="L86" s="6">
        <f>IF(B86="","",IF(J86&lt;&gt;"",MAX(0,J86-B86),MAX(0,TODAY()-B86)))</f>
        <v/>
      </c>
    </row>
    <row r="87">
      <c r="B87" s="5" t="n"/>
      <c r="J87" s="5" t="n"/>
      <c r="L87" s="6">
        <f>IF(B87="","",IF(J87&lt;&gt;"",MAX(0,J87-B87),MAX(0,TODAY()-B87)))</f>
        <v/>
      </c>
    </row>
    <row r="88">
      <c r="B88" s="5" t="n"/>
      <c r="J88" s="5" t="n"/>
      <c r="L88" s="6">
        <f>IF(B88="","",IF(J88&lt;&gt;"",MAX(0,J88-B88),MAX(0,TODAY()-B88)))</f>
        <v/>
      </c>
    </row>
    <row r="89">
      <c r="B89" s="5" t="n"/>
      <c r="J89" s="5" t="n"/>
      <c r="L89" s="6">
        <f>IF(B89="","",IF(J89&lt;&gt;"",MAX(0,J89-B89),MAX(0,TODAY()-B89)))</f>
        <v/>
      </c>
    </row>
    <row r="90">
      <c r="B90" s="5" t="n"/>
      <c r="J90" s="5" t="n"/>
      <c r="L90" s="6">
        <f>IF(B90="","",IF(J90&lt;&gt;"",MAX(0,J90-B90),MAX(0,TODAY()-B90)))</f>
        <v/>
      </c>
    </row>
    <row r="91">
      <c r="B91" s="5" t="n"/>
      <c r="J91" s="5" t="n"/>
      <c r="L91" s="6">
        <f>IF(B91="","",IF(J91&lt;&gt;"",MAX(0,J91-B91),MAX(0,TODAY()-B91)))</f>
        <v/>
      </c>
    </row>
    <row r="92">
      <c r="B92" s="5" t="n"/>
      <c r="J92" s="5" t="n"/>
      <c r="L92" s="6">
        <f>IF(B92="","",IF(J92&lt;&gt;"",MAX(0,J92-B92),MAX(0,TODAY()-B92)))</f>
        <v/>
      </c>
    </row>
    <row r="93">
      <c r="B93" s="5" t="n"/>
      <c r="J93" s="5" t="n"/>
      <c r="L93" s="6">
        <f>IF(B93="","",IF(J93&lt;&gt;"",MAX(0,J93-B93),MAX(0,TODAY()-B93)))</f>
        <v/>
      </c>
    </row>
    <row r="94">
      <c r="B94" s="5" t="n"/>
      <c r="J94" s="5" t="n"/>
      <c r="L94" s="6">
        <f>IF(B94="","",IF(J94&lt;&gt;"",MAX(0,J94-B94),MAX(0,TODAY()-B94)))</f>
        <v/>
      </c>
    </row>
    <row r="95">
      <c r="B95" s="5" t="n"/>
      <c r="J95" s="5" t="n"/>
      <c r="L95" s="6">
        <f>IF(B95="","",IF(J95&lt;&gt;"",MAX(0,J95-B95),MAX(0,TODAY()-B95)))</f>
        <v/>
      </c>
    </row>
    <row r="96">
      <c r="B96" s="5" t="n"/>
      <c r="J96" s="5" t="n"/>
      <c r="L96" s="6">
        <f>IF(B96="","",IF(J96&lt;&gt;"",MAX(0,J96-B96),MAX(0,TODAY()-B96)))</f>
        <v/>
      </c>
    </row>
    <row r="97">
      <c r="B97" s="5" t="n"/>
      <c r="J97" s="5" t="n"/>
      <c r="L97" s="6">
        <f>IF(B97="","",IF(J97&lt;&gt;"",MAX(0,J97-B97),MAX(0,TODAY()-B97)))</f>
        <v/>
      </c>
    </row>
    <row r="98">
      <c r="B98" s="5" t="n"/>
      <c r="J98" s="5" t="n"/>
      <c r="L98" s="6">
        <f>IF(B98="","",IF(J98&lt;&gt;"",MAX(0,J98-B98),MAX(0,TODAY()-B98)))</f>
        <v/>
      </c>
    </row>
    <row r="99">
      <c r="B99" s="5" t="n"/>
      <c r="J99" s="5" t="n"/>
      <c r="L99" s="6">
        <f>IF(B99="","",IF(J99&lt;&gt;"",MAX(0,J99-B99),MAX(0,TODAY()-B99)))</f>
        <v/>
      </c>
    </row>
    <row r="100">
      <c r="B100" s="5" t="n"/>
      <c r="J100" s="5" t="n"/>
      <c r="L100" s="6">
        <f>IF(B100="","",IF(J100&lt;&gt;"",MAX(0,J100-B100),MAX(0,TODAY()-B100)))</f>
        <v/>
      </c>
    </row>
    <row r="101">
      <c r="B101" s="5" t="n"/>
      <c r="J101" s="5" t="n"/>
      <c r="L101" s="6">
        <f>IF(B101="","",IF(J101&lt;&gt;"",MAX(0,J101-B101),MAX(0,TODAY()-B101)))</f>
        <v/>
      </c>
    </row>
    <row r="102">
      <c r="B102" s="5" t="n"/>
      <c r="J102" s="5" t="n"/>
      <c r="L102" s="6">
        <f>IF(B102="","",IF(J102&lt;&gt;"",MAX(0,J102-B102),MAX(0,TODAY()-B102)))</f>
        <v/>
      </c>
    </row>
    <row r="103">
      <c r="B103" s="5" t="n"/>
      <c r="J103" s="5" t="n"/>
      <c r="L103" s="6">
        <f>IF(B103="","",IF(J103&lt;&gt;"",MAX(0,J103-B103),MAX(0,TODAY()-B103)))</f>
        <v/>
      </c>
    </row>
    <row r="104">
      <c r="B104" s="5" t="n"/>
      <c r="J104" s="5" t="n"/>
      <c r="L104" s="6">
        <f>IF(B104="","",IF(J104&lt;&gt;"",MAX(0,J104-B104),MAX(0,TODAY()-B104)))</f>
        <v/>
      </c>
    </row>
    <row r="105">
      <c r="B105" s="5" t="n"/>
      <c r="J105" s="5" t="n"/>
      <c r="L105" s="6">
        <f>IF(B105="","",IF(J105&lt;&gt;"",MAX(0,J105-B105),MAX(0,TODAY()-B105)))</f>
        <v/>
      </c>
    </row>
    <row r="106">
      <c r="B106" s="5" t="n"/>
      <c r="J106" s="5" t="n"/>
      <c r="L106" s="6">
        <f>IF(B106="","",IF(J106&lt;&gt;"",MAX(0,J106-B106),MAX(0,TODAY()-B106)))</f>
        <v/>
      </c>
    </row>
    <row r="107">
      <c r="B107" s="5" t="n"/>
      <c r="J107" s="5" t="n"/>
      <c r="L107" s="6">
        <f>IF(B107="","",IF(J107&lt;&gt;"",MAX(0,J107-B107),MAX(0,TODAY()-B107)))</f>
        <v/>
      </c>
    </row>
    <row r="108">
      <c r="B108" s="5" t="n"/>
      <c r="J108" s="5" t="n"/>
      <c r="L108" s="6">
        <f>IF(B108="","",IF(J108&lt;&gt;"",MAX(0,J108-B108),MAX(0,TODAY()-B108)))</f>
        <v/>
      </c>
    </row>
    <row r="109">
      <c r="B109" s="5" t="n"/>
      <c r="J109" s="5" t="n"/>
      <c r="L109" s="6">
        <f>IF(B109="","",IF(J109&lt;&gt;"",MAX(0,J109-B109),MAX(0,TODAY()-B109)))</f>
        <v/>
      </c>
    </row>
    <row r="110">
      <c r="B110" s="5" t="n"/>
      <c r="J110" s="5" t="n"/>
      <c r="L110" s="6">
        <f>IF(B110="","",IF(J110&lt;&gt;"",MAX(0,J110-B110),MAX(0,TODAY()-B110)))</f>
        <v/>
      </c>
    </row>
    <row r="111">
      <c r="B111" s="5" t="n"/>
      <c r="J111" s="5" t="n"/>
      <c r="L111" s="6">
        <f>IF(B111="","",IF(J111&lt;&gt;"",MAX(0,J111-B111),MAX(0,TODAY()-B111)))</f>
        <v/>
      </c>
    </row>
    <row r="112">
      <c r="B112" s="5" t="n"/>
      <c r="J112" s="5" t="n"/>
      <c r="L112" s="6">
        <f>IF(B112="","",IF(J112&lt;&gt;"",MAX(0,J112-B112),MAX(0,TODAY()-B112)))</f>
        <v/>
      </c>
    </row>
    <row r="113">
      <c r="B113" s="5" t="n"/>
      <c r="J113" s="5" t="n"/>
      <c r="L113" s="6">
        <f>IF(B113="","",IF(J113&lt;&gt;"",MAX(0,J113-B113),MAX(0,TODAY()-B113)))</f>
        <v/>
      </c>
    </row>
    <row r="114">
      <c r="B114" s="5" t="n"/>
      <c r="J114" s="5" t="n"/>
      <c r="L114" s="6">
        <f>IF(B114="","",IF(J114&lt;&gt;"",MAX(0,J114-B114),MAX(0,TODAY()-B114)))</f>
        <v/>
      </c>
    </row>
    <row r="115">
      <c r="B115" s="5" t="n"/>
      <c r="J115" s="5" t="n"/>
      <c r="L115" s="6">
        <f>IF(B115="","",IF(J115&lt;&gt;"",MAX(0,J115-B115),MAX(0,TODAY()-B115)))</f>
        <v/>
      </c>
    </row>
    <row r="116">
      <c r="B116" s="5" t="n"/>
      <c r="J116" s="5" t="n"/>
      <c r="L116" s="6">
        <f>IF(B116="","",IF(J116&lt;&gt;"",MAX(0,J116-B116),MAX(0,TODAY()-B116)))</f>
        <v/>
      </c>
    </row>
    <row r="117">
      <c r="B117" s="5" t="n"/>
      <c r="J117" s="5" t="n"/>
      <c r="L117" s="6">
        <f>IF(B117="","",IF(J117&lt;&gt;"",MAX(0,J117-B117),MAX(0,TODAY()-B117)))</f>
        <v/>
      </c>
    </row>
    <row r="118">
      <c r="B118" s="5" t="n"/>
      <c r="J118" s="5" t="n"/>
      <c r="L118" s="6">
        <f>IF(B118="","",IF(J118&lt;&gt;"",MAX(0,J118-B118),MAX(0,TODAY()-B118)))</f>
        <v/>
      </c>
    </row>
    <row r="119">
      <c r="B119" s="5" t="n"/>
      <c r="J119" s="5" t="n"/>
      <c r="L119" s="6">
        <f>IF(B119="","",IF(J119&lt;&gt;"",MAX(0,J119-B119),MAX(0,TODAY()-B119)))</f>
        <v/>
      </c>
    </row>
    <row r="120">
      <c r="B120" s="5" t="n"/>
      <c r="J120" s="5" t="n"/>
      <c r="L120" s="6">
        <f>IF(B120="","",IF(J120&lt;&gt;"",MAX(0,J120-B120),MAX(0,TODAY()-B120)))</f>
        <v/>
      </c>
    </row>
    <row r="121">
      <c r="B121" s="5" t="n"/>
      <c r="J121" s="5" t="n"/>
      <c r="L121" s="6">
        <f>IF(B121="","",IF(J121&lt;&gt;"",MAX(0,J121-B121),MAX(0,TODAY()-B121)))</f>
        <v/>
      </c>
    </row>
    <row r="122">
      <c r="B122" s="5" t="n"/>
      <c r="J122" s="5" t="n"/>
      <c r="L122" s="6">
        <f>IF(B122="","",IF(J122&lt;&gt;"",MAX(0,J122-B122),MAX(0,TODAY()-B122)))</f>
        <v/>
      </c>
    </row>
    <row r="123">
      <c r="B123" s="5" t="n"/>
      <c r="J123" s="5" t="n"/>
      <c r="L123" s="6">
        <f>IF(B123="","",IF(J123&lt;&gt;"",MAX(0,J123-B123),MAX(0,TODAY()-B123)))</f>
        <v/>
      </c>
    </row>
    <row r="124">
      <c r="B124" s="5" t="n"/>
      <c r="J124" s="5" t="n"/>
      <c r="L124" s="6">
        <f>IF(B124="","",IF(J124&lt;&gt;"",MAX(0,J124-B124),MAX(0,TODAY()-B124)))</f>
        <v/>
      </c>
    </row>
    <row r="125">
      <c r="B125" s="5" t="n"/>
      <c r="J125" s="5" t="n"/>
      <c r="L125" s="6">
        <f>IF(B125="","",IF(J125&lt;&gt;"",MAX(0,J125-B125),MAX(0,TODAY()-B125)))</f>
        <v/>
      </c>
    </row>
    <row r="126">
      <c r="B126" s="5" t="n"/>
      <c r="J126" s="5" t="n"/>
      <c r="L126" s="6">
        <f>IF(B126="","",IF(J126&lt;&gt;"",MAX(0,J126-B126),MAX(0,TODAY()-B126)))</f>
        <v/>
      </c>
    </row>
    <row r="127">
      <c r="B127" s="5" t="n"/>
      <c r="J127" s="5" t="n"/>
      <c r="L127" s="6">
        <f>IF(B127="","",IF(J127&lt;&gt;"",MAX(0,J127-B127),MAX(0,TODAY()-B127)))</f>
        <v/>
      </c>
    </row>
    <row r="128">
      <c r="B128" s="5" t="n"/>
      <c r="J128" s="5" t="n"/>
      <c r="L128" s="6">
        <f>IF(B128="","",IF(J128&lt;&gt;"",MAX(0,J128-B128),MAX(0,TODAY()-B128)))</f>
        <v/>
      </c>
    </row>
    <row r="129">
      <c r="B129" s="5" t="n"/>
      <c r="J129" s="5" t="n"/>
      <c r="L129" s="6">
        <f>IF(B129="","",IF(J129&lt;&gt;"",MAX(0,J129-B129),MAX(0,TODAY()-B129)))</f>
        <v/>
      </c>
    </row>
    <row r="130">
      <c r="B130" s="5" t="n"/>
      <c r="J130" s="5" t="n"/>
      <c r="L130" s="6">
        <f>IF(B130="","",IF(J130&lt;&gt;"",MAX(0,J130-B130),MAX(0,TODAY()-B130)))</f>
        <v/>
      </c>
    </row>
    <row r="131">
      <c r="B131" s="5" t="n"/>
      <c r="J131" s="5" t="n"/>
      <c r="L131" s="6">
        <f>IF(B131="","",IF(J131&lt;&gt;"",MAX(0,J131-B131),MAX(0,TODAY()-B131)))</f>
        <v/>
      </c>
    </row>
    <row r="132">
      <c r="B132" s="5" t="n"/>
      <c r="J132" s="5" t="n"/>
      <c r="L132" s="6">
        <f>IF(B132="","",IF(J132&lt;&gt;"",MAX(0,J132-B132),MAX(0,TODAY()-B132)))</f>
        <v/>
      </c>
    </row>
    <row r="133">
      <c r="B133" s="5" t="n"/>
      <c r="J133" s="5" t="n"/>
      <c r="L133" s="6">
        <f>IF(B133="","",IF(J133&lt;&gt;"",MAX(0,J133-B133),MAX(0,TODAY()-B133)))</f>
        <v/>
      </c>
    </row>
    <row r="134">
      <c r="B134" s="5" t="n"/>
      <c r="J134" s="5" t="n"/>
      <c r="L134" s="6">
        <f>IF(B134="","",IF(J134&lt;&gt;"",MAX(0,J134-B134),MAX(0,TODAY()-B134)))</f>
        <v/>
      </c>
    </row>
    <row r="135">
      <c r="B135" s="5" t="n"/>
      <c r="J135" s="5" t="n"/>
      <c r="L135" s="6">
        <f>IF(B135="","",IF(J135&lt;&gt;"",MAX(0,J135-B135),MAX(0,TODAY()-B135)))</f>
        <v/>
      </c>
    </row>
    <row r="136">
      <c r="B136" s="5" t="n"/>
      <c r="J136" s="5" t="n"/>
      <c r="L136" s="6">
        <f>IF(B136="","",IF(J136&lt;&gt;"",MAX(0,J136-B136),MAX(0,TODAY()-B136)))</f>
        <v/>
      </c>
    </row>
    <row r="137">
      <c r="B137" s="5" t="n"/>
      <c r="J137" s="5" t="n"/>
      <c r="L137" s="6">
        <f>IF(B137="","",IF(J137&lt;&gt;"",MAX(0,J137-B137),MAX(0,TODAY()-B137)))</f>
        <v/>
      </c>
    </row>
    <row r="138">
      <c r="B138" s="5" t="n"/>
      <c r="J138" s="5" t="n"/>
      <c r="L138" s="6">
        <f>IF(B138="","",IF(J138&lt;&gt;"",MAX(0,J138-B138),MAX(0,TODAY()-B138)))</f>
        <v/>
      </c>
    </row>
    <row r="139">
      <c r="B139" s="5" t="n"/>
      <c r="J139" s="5" t="n"/>
      <c r="L139" s="6">
        <f>IF(B139="","",IF(J139&lt;&gt;"",MAX(0,J139-B139),MAX(0,TODAY()-B139)))</f>
        <v/>
      </c>
    </row>
    <row r="140">
      <c r="B140" s="5" t="n"/>
      <c r="J140" s="5" t="n"/>
      <c r="L140" s="6">
        <f>IF(B140="","",IF(J140&lt;&gt;"",MAX(0,J140-B140),MAX(0,TODAY()-B140)))</f>
        <v/>
      </c>
    </row>
    <row r="141">
      <c r="B141" s="5" t="n"/>
      <c r="J141" s="5" t="n"/>
      <c r="L141" s="6">
        <f>IF(B141="","",IF(J141&lt;&gt;"",MAX(0,J141-B141),MAX(0,TODAY()-B141)))</f>
        <v/>
      </c>
    </row>
    <row r="142">
      <c r="B142" s="5" t="n"/>
      <c r="J142" s="5" t="n"/>
      <c r="L142" s="6">
        <f>IF(B142="","",IF(J142&lt;&gt;"",MAX(0,J142-B142),MAX(0,TODAY()-B142)))</f>
        <v/>
      </c>
    </row>
    <row r="143">
      <c r="B143" s="5" t="n"/>
      <c r="J143" s="5" t="n"/>
      <c r="L143" s="6">
        <f>IF(B143="","",IF(J143&lt;&gt;"",MAX(0,J143-B143),MAX(0,TODAY()-B143)))</f>
        <v/>
      </c>
    </row>
    <row r="144">
      <c r="B144" s="5" t="n"/>
      <c r="J144" s="5" t="n"/>
      <c r="L144" s="6">
        <f>IF(B144="","",IF(J144&lt;&gt;"",MAX(0,J144-B144),MAX(0,TODAY()-B144)))</f>
        <v/>
      </c>
    </row>
    <row r="145">
      <c r="B145" s="5" t="n"/>
      <c r="J145" s="5" t="n"/>
      <c r="L145" s="6">
        <f>IF(B145="","",IF(J145&lt;&gt;"",MAX(0,J145-B145),MAX(0,TODAY()-B145)))</f>
        <v/>
      </c>
    </row>
    <row r="146">
      <c r="B146" s="5" t="n"/>
      <c r="J146" s="5" t="n"/>
      <c r="L146" s="6">
        <f>IF(B146="","",IF(J146&lt;&gt;"",MAX(0,J146-B146),MAX(0,TODAY()-B146)))</f>
        <v/>
      </c>
    </row>
    <row r="147">
      <c r="B147" s="5" t="n"/>
      <c r="J147" s="5" t="n"/>
      <c r="L147" s="6">
        <f>IF(B147="","",IF(J147&lt;&gt;"",MAX(0,J147-B147),MAX(0,TODAY()-B147)))</f>
        <v/>
      </c>
    </row>
    <row r="148">
      <c r="B148" s="5" t="n"/>
      <c r="J148" s="5" t="n"/>
      <c r="L148" s="6">
        <f>IF(B148="","",IF(J148&lt;&gt;"",MAX(0,J148-B148),MAX(0,TODAY()-B148)))</f>
        <v/>
      </c>
    </row>
    <row r="149">
      <c r="B149" s="5" t="n"/>
      <c r="J149" s="5" t="n"/>
      <c r="L149" s="6">
        <f>IF(B149="","",IF(J149&lt;&gt;"",MAX(0,J149-B149),MAX(0,TODAY()-B149)))</f>
        <v/>
      </c>
    </row>
    <row r="150">
      <c r="B150" s="5" t="n"/>
      <c r="J150" s="5" t="n"/>
      <c r="L150" s="6">
        <f>IF(B150="","",IF(J150&lt;&gt;"",MAX(0,J150-B150),MAX(0,TODAY()-B150)))</f>
        <v/>
      </c>
    </row>
    <row r="151">
      <c r="B151" s="5" t="n"/>
      <c r="J151" s="5" t="n"/>
      <c r="L151" s="6">
        <f>IF(B151="","",IF(J151&lt;&gt;"",MAX(0,J151-B151),MAX(0,TODAY()-B151)))</f>
        <v/>
      </c>
    </row>
    <row r="152">
      <c r="B152" s="5" t="n"/>
      <c r="J152" s="5" t="n"/>
      <c r="L152" s="6">
        <f>IF(B152="","",IF(J152&lt;&gt;"",MAX(0,J152-B152),MAX(0,TODAY()-B152)))</f>
        <v/>
      </c>
    </row>
    <row r="153">
      <c r="B153" s="5" t="n"/>
      <c r="J153" s="5" t="n"/>
      <c r="L153" s="6">
        <f>IF(B153="","",IF(J153&lt;&gt;"",MAX(0,J153-B153),MAX(0,TODAY()-B153)))</f>
        <v/>
      </c>
    </row>
    <row r="154">
      <c r="B154" s="5" t="n"/>
      <c r="J154" s="5" t="n"/>
      <c r="L154" s="6">
        <f>IF(B154="","",IF(J154&lt;&gt;"",MAX(0,J154-B154),MAX(0,TODAY()-B154)))</f>
        <v/>
      </c>
    </row>
    <row r="155">
      <c r="B155" s="5" t="n"/>
      <c r="J155" s="5" t="n"/>
      <c r="L155" s="6">
        <f>IF(B155="","",IF(J155&lt;&gt;"",MAX(0,J155-B155),MAX(0,TODAY()-B155)))</f>
        <v/>
      </c>
    </row>
    <row r="156">
      <c r="B156" s="5" t="n"/>
      <c r="J156" s="5" t="n"/>
      <c r="L156" s="6">
        <f>IF(B156="","",IF(J156&lt;&gt;"",MAX(0,J156-B156),MAX(0,TODAY()-B156)))</f>
        <v/>
      </c>
    </row>
    <row r="157">
      <c r="B157" s="5" t="n"/>
      <c r="J157" s="5" t="n"/>
      <c r="L157" s="6">
        <f>IF(B157="","",IF(J157&lt;&gt;"",MAX(0,J157-B157),MAX(0,TODAY()-B157)))</f>
        <v/>
      </c>
    </row>
    <row r="158">
      <c r="B158" s="5" t="n"/>
      <c r="J158" s="5" t="n"/>
      <c r="L158" s="6">
        <f>IF(B158="","",IF(J158&lt;&gt;"",MAX(0,J158-B158),MAX(0,TODAY()-B158)))</f>
        <v/>
      </c>
    </row>
    <row r="159">
      <c r="B159" s="5" t="n"/>
      <c r="J159" s="5" t="n"/>
      <c r="L159" s="6">
        <f>IF(B159="","",IF(J159&lt;&gt;"",MAX(0,J159-B159),MAX(0,TODAY()-B159)))</f>
        <v/>
      </c>
    </row>
    <row r="160">
      <c r="B160" s="5" t="n"/>
      <c r="J160" s="5" t="n"/>
      <c r="L160" s="6">
        <f>IF(B160="","",IF(J160&lt;&gt;"",MAX(0,J160-B160),MAX(0,TODAY()-B160)))</f>
        <v/>
      </c>
    </row>
    <row r="161">
      <c r="B161" s="5" t="n"/>
      <c r="J161" s="5" t="n"/>
      <c r="L161" s="6">
        <f>IF(B161="","",IF(J161&lt;&gt;"",MAX(0,J161-B161),MAX(0,TODAY()-B161)))</f>
        <v/>
      </c>
    </row>
    <row r="162">
      <c r="B162" s="5" t="n"/>
      <c r="J162" s="5" t="n"/>
      <c r="L162" s="6">
        <f>IF(B162="","",IF(J162&lt;&gt;"",MAX(0,J162-B162),MAX(0,TODAY()-B162)))</f>
        <v/>
      </c>
    </row>
    <row r="163">
      <c r="B163" s="5" t="n"/>
      <c r="J163" s="5" t="n"/>
      <c r="L163" s="6">
        <f>IF(B163="","",IF(J163&lt;&gt;"",MAX(0,J163-B163),MAX(0,TODAY()-B163)))</f>
        <v/>
      </c>
    </row>
    <row r="164">
      <c r="B164" s="5" t="n"/>
      <c r="J164" s="5" t="n"/>
      <c r="L164" s="6">
        <f>IF(B164="","",IF(J164&lt;&gt;"",MAX(0,J164-B164),MAX(0,TODAY()-B164)))</f>
        <v/>
      </c>
    </row>
    <row r="165">
      <c r="B165" s="5" t="n"/>
      <c r="J165" s="5" t="n"/>
      <c r="L165" s="6">
        <f>IF(B165="","",IF(J165&lt;&gt;"",MAX(0,J165-B165),MAX(0,TODAY()-B165)))</f>
        <v/>
      </c>
    </row>
    <row r="166">
      <c r="B166" s="5" t="n"/>
      <c r="J166" s="5" t="n"/>
      <c r="L166" s="6">
        <f>IF(B166="","",IF(J166&lt;&gt;"",MAX(0,J166-B166),MAX(0,TODAY()-B166)))</f>
        <v/>
      </c>
    </row>
    <row r="167">
      <c r="B167" s="5" t="n"/>
      <c r="J167" s="5" t="n"/>
      <c r="L167" s="6">
        <f>IF(B167="","",IF(J167&lt;&gt;"",MAX(0,J167-B167),MAX(0,TODAY()-B167)))</f>
        <v/>
      </c>
    </row>
    <row r="168">
      <c r="B168" s="5" t="n"/>
      <c r="J168" s="5" t="n"/>
      <c r="L168" s="6">
        <f>IF(B168="","",IF(J168&lt;&gt;"",MAX(0,J168-B168),MAX(0,TODAY()-B168)))</f>
        <v/>
      </c>
    </row>
    <row r="169">
      <c r="B169" s="5" t="n"/>
      <c r="J169" s="5" t="n"/>
      <c r="L169" s="6">
        <f>IF(B169="","",IF(J169&lt;&gt;"",MAX(0,J169-B169),MAX(0,TODAY()-B169)))</f>
        <v/>
      </c>
    </row>
    <row r="170">
      <c r="B170" s="5" t="n"/>
      <c r="J170" s="5" t="n"/>
      <c r="L170" s="6">
        <f>IF(B170="","",IF(J170&lt;&gt;"",MAX(0,J170-B170),MAX(0,TODAY()-B170)))</f>
        <v/>
      </c>
    </row>
    <row r="171">
      <c r="B171" s="5" t="n"/>
      <c r="J171" s="5" t="n"/>
      <c r="L171" s="6">
        <f>IF(B171="","",IF(J171&lt;&gt;"",MAX(0,J171-B171),MAX(0,TODAY()-B171)))</f>
        <v/>
      </c>
    </row>
    <row r="172">
      <c r="B172" s="5" t="n"/>
      <c r="J172" s="5" t="n"/>
      <c r="L172" s="6">
        <f>IF(B172="","",IF(J172&lt;&gt;"",MAX(0,J172-B172),MAX(0,TODAY()-B172)))</f>
        <v/>
      </c>
    </row>
    <row r="173">
      <c r="B173" s="5" t="n"/>
      <c r="J173" s="5" t="n"/>
      <c r="L173" s="6">
        <f>IF(B173="","",IF(J173&lt;&gt;"",MAX(0,J173-B173),MAX(0,TODAY()-B173)))</f>
        <v/>
      </c>
    </row>
    <row r="174">
      <c r="B174" s="5" t="n"/>
      <c r="J174" s="5" t="n"/>
      <c r="L174" s="6">
        <f>IF(B174="","",IF(J174&lt;&gt;"",MAX(0,J174-B174),MAX(0,TODAY()-B174)))</f>
        <v/>
      </c>
    </row>
    <row r="175">
      <c r="B175" s="5" t="n"/>
      <c r="J175" s="5" t="n"/>
      <c r="L175" s="6">
        <f>IF(B175="","",IF(J175&lt;&gt;"",MAX(0,J175-B175),MAX(0,TODAY()-B175)))</f>
        <v/>
      </c>
    </row>
    <row r="176">
      <c r="B176" s="5" t="n"/>
      <c r="J176" s="5" t="n"/>
      <c r="L176" s="6">
        <f>IF(B176="","",IF(J176&lt;&gt;"",MAX(0,J176-B176),MAX(0,TODAY()-B176)))</f>
        <v/>
      </c>
    </row>
    <row r="177">
      <c r="B177" s="5" t="n"/>
      <c r="J177" s="5" t="n"/>
      <c r="L177" s="6">
        <f>IF(B177="","",IF(J177&lt;&gt;"",MAX(0,J177-B177),MAX(0,TODAY()-B177)))</f>
        <v/>
      </c>
    </row>
    <row r="178">
      <c r="B178" s="5" t="n"/>
      <c r="J178" s="5" t="n"/>
      <c r="L178" s="6">
        <f>IF(B178="","",IF(J178&lt;&gt;"",MAX(0,J178-B178),MAX(0,TODAY()-B178)))</f>
        <v/>
      </c>
    </row>
    <row r="179">
      <c r="B179" s="5" t="n"/>
      <c r="J179" s="5" t="n"/>
      <c r="L179" s="6">
        <f>IF(B179="","",IF(J179&lt;&gt;"",MAX(0,J179-B179),MAX(0,TODAY()-B179)))</f>
        <v/>
      </c>
    </row>
    <row r="180">
      <c r="B180" s="5" t="n"/>
      <c r="J180" s="5" t="n"/>
      <c r="L180" s="6">
        <f>IF(B180="","",IF(J180&lt;&gt;"",MAX(0,J180-B180),MAX(0,TODAY()-B180)))</f>
        <v/>
      </c>
    </row>
    <row r="181">
      <c r="B181" s="5" t="n"/>
      <c r="J181" s="5" t="n"/>
      <c r="L181" s="6">
        <f>IF(B181="","",IF(J181&lt;&gt;"",MAX(0,J181-B181),MAX(0,TODAY()-B181)))</f>
        <v/>
      </c>
    </row>
    <row r="182">
      <c r="B182" s="5" t="n"/>
      <c r="J182" s="5" t="n"/>
      <c r="L182" s="6">
        <f>IF(B182="","",IF(J182&lt;&gt;"",MAX(0,J182-B182),MAX(0,TODAY()-B182)))</f>
        <v/>
      </c>
    </row>
    <row r="183">
      <c r="B183" s="5" t="n"/>
      <c r="J183" s="5" t="n"/>
      <c r="L183" s="6">
        <f>IF(B183="","",IF(J183&lt;&gt;"",MAX(0,J183-B183),MAX(0,TODAY()-B183)))</f>
        <v/>
      </c>
    </row>
    <row r="184">
      <c r="B184" s="5" t="n"/>
      <c r="J184" s="5" t="n"/>
      <c r="L184" s="6">
        <f>IF(B184="","",IF(J184&lt;&gt;"",MAX(0,J184-B184),MAX(0,TODAY()-B184)))</f>
        <v/>
      </c>
    </row>
    <row r="185">
      <c r="B185" s="5" t="n"/>
      <c r="J185" s="5" t="n"/>
      <c r="L185" s="6">
        <f>IF(B185="","",IF(J185&lt;&gt;"",MAX(0,J185-B185),MAX(0,TODAY()-B185)))</f>
        <v/>
      </c>
    </row>
    <row r="186">
      <c r="B186" s="5" t="n"/>
      <c r="J186" s="5" t="n"/>
      <c r="L186" s="6">
        <f>IF(B186="","",IF(J186&lt;&gt;"",MAX(0,J186-B186),MAX(0,TODAY()-B186)))</f>
        <v/>
      </c>
    </row>
    <row r="187">
      <c r="B187" s="5" t="n"/>
      <c r="J187" s="5" t="n"/>
      <c r="L187" s="6">
        <f>IF(B187="","",IF(J187&lt;&gt;"",MAX(0,J187-B187),MAX(0,TODAY()-B187)))</f>
        <v/>
      </c>
    </row>
    <row r="188">
      <c r="B188" s="5" t="n"/>
      <c r="J188" s="5" t="n"/>
      <c r="L188" s="6">
        <f>IF(B188="","",IF(J188&lt;&gt;"",MAX(0,J188-B188),MAX(0,TODAY()-B188)))</f>
        <v/>
      </c>
    </row>
    <row r="189">
      <c r="B189" s="5" t="n"/>
      <c r="J189" s="5" t="n"/>
      <c r="L189" s="6">
        <f>IF(B189="","",IF(J189&lt;&gt;"",MAX(0,J189-B189),MAX(0,TODAY()-B189)))</f>
        <v/>
      </c>
    </row>
    <row r="190">
      <c r="B190" s="5" t="n"/>
      <c r="J190" s="5" t="n"/>
      <c r="L190" s="6">
        <f>IF(B190="","",IF(J190&lt;&gt;"",MAX(0,J190-B190),MAX(0,TODAY()-B190)))</f>
        <v/>
      </c>
    </row>
    <row r="191">
      <c r="B191" s="5" t="n"/>
      <c r="J191" s="5" t="n"/>
      <c r="L191" s="6">
        <f>IF(B191="","",IF(J191&lt;&gt;"",MAX(0,J191-B191),MAX(0,TODAY()-B191)))</f>
        <v/>
      </c>
    </row>
    <row r="192">
      <c r="B192" s="5" t="n"/>
      <c r="J192" s="5" t="n"/>
      <c r="L192" s="6">
        <f>IF(B192="","",IF(J192&lt;&gt;"",MAX(0,J192-B192),MAX(0,TODAY()-B192)))</f>
        <v/>
      </c>
    </row>
    <row r="193">
      <c r="B193" s="5" t="n"/>
      <c r="J193" s="5" t="n"/>
      <c r="L193" s="6">
        <f>IF(B193="","",IF(J193&lt;&gt;"",MAX(0,J193-B193),MAX(0,TODAY()-B193)))</f>
        <v/>
      </c>
    </row>
    <row r="194">
      <c r="B194" s="5" t="n"/>
      <c r="J194" s="5" t="n"/>
      <c r="L194" s="6">
        <f>IF(B194="","",IF(J194&lt;&gt;"",MAX(0,J194-B194),MAX(0,TODAY()-B194)))</f>
        <v/>
      </c>
    </row>
    <row r="195">
      <c r="B195" s="5" t="n"/>
      <c r="J195" s="5" t="n"/>
      <c r="L195" s="6">
        <f>IF(B195="","",IF(J195&lt;&gt;"",MAX(0,J195-B195),MAX(0,TODAY()-B195)))</f>
        <v/>
      </c>
    </row>
    <row r="196">
      <c r="B196" s="5" t="n"/>
      <c r="J196" s="5" t="n"/>
      <c r="L196" s="6">
        <f>IF(B196="","",IF(J196&lt;&gt;"",MAX(0,J196-B196),MAX(0,TODAY()-B196)))</f>
        <v/>
      </c>
    </row>
    <row r="197">
      <c r="B197" s="5" t="n"/>
      <c r="J197" s="5" t="n"/>
      <c r="L197" s="6">
        <f>IF(B197="","",IF(J197&lt;&gt;"",MAX(0,J197-B197),MAX(0,TODAY()-B197)))</f>
        <v/>
      </c>
    </row>
    <row r="198">
      <c r="B198" s="5" t="n"/>
      <c r="J198" s="5" t="n"/>
      <c r="L198" s="6">
        <f>IF(B198="","",IF(J198&lt;&gt;"",MAX(0,J198-B198),MAX(0,TODAY()-B198)))</f>
        <v/>
      </c>
    </row>
    <row r="199">
      <c r="B199" s="5" t="n"/>
      <c r="J199" s="5" t="n"/>
      <c r="L199" s="6">
        <f>IF(B199="","",IF(J199&lt;&gt;"",MAX(0,J199-B199),MAX(0,TODAY()-B199)))</f>
        <v/>
      </c>
    </row>
    <row r="200">
      <c r="B200" s="5" t="n"/>
      <c r="J200" s="5" t="n"/>
      <c r="L200" s="6">
        <f>IF(B200="","",IF(J200&lt;&gt;"",MAX(0,J200-B200),MAX(0,TODAY()-B200)))</f>
        <v/>
      </c>
    </row>
    <row r="201">
      <c r="B201" s="5" t="n"/>
      <c r="J201" s="5" t="n"/>
      <c r="L201" s="6">
        <f>IF(B201="","",IF(J201&lt;&gt;"",MAX(0,J201-B201),MAX(0,TODAY()-B201)))</f>
        <v/>
      </c>
    </row>
    <row r="202">
      <c r="B202" s="5" t="n"/>
      <c r="J202" s="5" t="n"/>
      <c r="L202" s="6">
        <f>IF(B202="","",IF(J202&lt;&gt;"",MAX(0,J202-B202),MAX(0,TODAY()-B202)))</f>
        <v/>
      </c>
    </row>
    <row r="203">
      <c r="B203" s="5" t="n"/>
      <c r="J203" s="5" t="n"/>
      <c r="L203" s="6">
        <f>IF(B203="","",IF(J203&lt;&gt;"",MAX(0,J203-B203),MAX(0,TODAY()-B203)))</f>
        <v/>
      </c>
    </row>
    <row r="204">
      <c r="B204" s="5" t="n"/>
      <c r="J204" s="5" t="n"/>
      <c r="L204" s="6">
        <f>IF(B204="","",IF(J204&lt;&gt;"",MAX(0,J204-B204),MAX(0,TODAY()-B204)))</f>
        <v/>
      </c>
    </row>
    <row r="205">
      <c r="B205" s="5" t="n"/>
      <c r="J205" s="5" t="n"/>
      <c r="L205" s="6">
        <f>IF(B205="","",IF(J205&lt;&gt;"",MAX(0,J205-B205),MAX(0,TODAY()-B205)))</f>
        <v/>
      </c>
    </row>
    <row r="206">
      <c r="B206" s="5" t="n"/>
      <c r="J206" s="5" t="n"/>
      <c r="L206" s="6">
        <f>IF(B206="","",IF(J206&lt;&gt;"",MAX(0,J206-B206),MAX(0,TODAY()-B206)))</f>
        <v/>
      </c>
    </row>
    <row r="207">
      <c r="B207" s="5" t="n"/>
      <c r="J207" s="5" t="n"/>
      <c r="L207" s="6">
        <f>IF(B207="","",IF(J207&lt;&gt;"",MAX(0,J207-B207),MAX(0,TODAY()-B207)))</f>
        <v/>
      </c>
    </row>
    <row r="208">
      <c r="B208" s="5" t="n"/>
      <c r="J208" s="5" t="n"/>
      <c r="L208" s="6">
        <f>IF(B208="","",IF(J208&lt;&gt;"",MAX(0,J208-B208),MAX(0,TODAY()-B208)))</f>
        <v/>
      </c>
    </row>
    <row r="209">
      <c r="B209" s="5" t="n"/>
      <c r="J209" s="5" t="n"/>
      <c r="L209" s="6">
        <f>IF(B209="","",IF(J209&lt;&gt;"",MAX(0,J209-B209),MAX(0,TODAY()-B209)))</f>
        <v/>
      </c>
    </row>
    <row r="210">
      <c r="B210" s="5" t="n"/>
      <c r="J210" s="5" t="n"/>
      <c r="L210" s="6">
        <f>IF(B210="","",IF(J210&lt;&gt;"",MAX(0,J210-B210),MAX(0,TODAY()-B210)))</f>
        <v/>
      </c>
    </row>
    <row r="211">
      <c r="B211" s="5" t="n"/>
      <c r="J211" s="5" t="n"/>
      <c r="L211" s="6">
        <f>IF(B211="","",IF(J211&lt;&gt;"",MAX(0,J211-B211),MAX(0,TODAY()-B211)))</f>
        <v/>
      </c>
    </row>
    <row r="212">
      <c r="B212" s="5" t="n"/>
      <c r="J212" s="5" t="n"/>
      <c r="L212" s="6">
        <f>IF(B212="","",IF(J212&lt;&gt;"",MAX(0,J212-B212),MAX(0,TODAY()-B212)))</f>
        <v/>
      </c>
    </row>
    <row r="213">
      <c r="B213" s="5" t="n"/>
      <c r="J213" s="5" t="n"/>
      <c r="L213" s="6">
        <f>IF(B213="","",IF(J213&lt;&gt;"",MAX(0,J213-B213),MAX(0,TODAY()-B213)))</f>
        <v/>
      </c>
    </row>
    <row r="214">
      <c r="B214" s="5" t="n"/>
      <c r="J214" s="5" t="n"/>
      <c r="L214" s="6">
        <f>IF(B214="","",IF(J214&lt;&gt;"",MAX(0,J214-B214),MAX(0,TODAY()-B214)))</f>
        <v/>
      </c>
    </row>
    <row r="215">
      <c r="B215" s="5" t="n"/>
      <c r="J215" s="5" t="n"/>
      <c r="L215" s="6">
        <f>IF(B215="","",IF(J215&lt;&gt;"",MAX(0,J215-B215),MAX(0,TODAY()-B215)))</f>
        <v/>
      </c>
    </row>
    <row r="216">
      <c r="B216" s="5" t="n"/>
      <c r="J216" s="5" t="n"/>
      <c r="L216" s="6">
        <f>IF(B216="","",IF(J216&lt;&gt;"",MAX(0,J216-B216),MAX(0,TODAY()-B216)))</f>
        <v/>
      </c>
    </row>
    <row r="217">
      <c r="B217" s="5" t="n"/>
      <c r="J217" s="5" t="n"/>
      <c r="L217" s="6">
        <f>IF(B217="","",IF(J217&lt;&gt;"",MAX(0,J217-B217),MAX(0,TODAY()-B217)))</f>
        <v/>
      </c>
    </row>
    <row r="218">
      <c r="B218" s="5" t="n"/>
      <c r="J218" s="5" t="n"/>
      <c r="L218" s="6">
        <f>IF(B218="","",IF(J218&lt;&gt;"",MAX(0,J218-B218),MAX(0,TODAY()-B218)))</f>
        <v/>
      </c>
    </row>
    <row r="219">
      <c r="B219" s="5" t="n"/>
      <c r="J219" s="5" t="n"/>
      <c r="L219" s="6">
        <f>IF(B219="","",IF(J219&lt;&gt;"",MAX(0,J219-B219),MAX(0,TODAY()-B219)))</f>
        <v/>
      </c>
    </row>
    <row r="220">
      <c r="B220" s="5" t="n"/>
      <c r="J220" s="5" t="n"/>
      <c r="L220" s="6">
        <f>IF(B220="","",IF(J220&lt;&gt;"",MAX(0,J220-B220),MAX(0,TODAY()-B220)))</f>
        <v/>
      </c>
    </row>
    <row r="221">
      <c r="B221" s="5" t="n"/>
      <c r="J221" s="5" t="n"/>
      <c r="L221" s="6">
        <f>IF(B221="","",IF(J221&lt;&gt;"",MAX(0,J221-B221),MAX(0,TODAY()-B221)))</f>
        <v/>
      </c>
    </row>
    <row r="222">
      <c r="B222" s="5" t="n"/>
      <c r="J222" s="5" t="n"/>
      <c r="L222" s="6">
        <f>IF(B222="","",IF(J222&lt;&gt;"",MAX(0,J222-B222),MAX(0,TODAY()-B222)))</f>
        <v/>
      </c>
    </row>
    <row r="223">
      <c r="B223" s="5" t="n"/>
      <c r="J223" s="5" t="n"/>
      <c r="L223" s="6">
        <f>IF(B223="","",IF(J223&lt;&gt;"",MAX(0,J223-B223),MAX(0,TODAY()-B223)))</f>
        <v/>
      </c>
    </row>
    <row r="224">
      <c r="B224" s="5" t="n"/>
      <c r="J224" s="5" t="n"/>
      <c r="L224" s="6">
        <f>IF(B224="","",IF(J224&lt;&gt;"",MAX(0,J224-B224),MAX(0,TODAY()-B224)))</f>
        <v/>
      </c>
    </row>
    <row r="225">
      <c r="B225" s="5" t="n"/>
      <c r="J225" s="5" t="n"/>
      <c r="L225" s="6">
        <f>IF(B225="","",IF(J225&lt;&gt;"",MAX(0,J225-B225),MAX(0,TODAY()-B225)))</f>
        <v/>
      </c>
    </row>
    <row r="226">
      <c r="B226" s="5" t="n"/>
      <c r="J226" s="5" t="n"/>
      <c r="L226" s="6">
        <f>IF(B226="","",IF(J226&lt;&gt;"",MAX(0,J226-B226),MAX(0,TODAY()-B226)))</f>
        <v/>
      </c>
    </row>
    <row r="227">
      <c r="B227" s="5" t="n"/>
      <c r="J227" s="5" t="n"/>
      <c r="L227" s="6">
        <f>IF(B227="","",IF(J227&lt;&gt;"",MAX(0,J227-B227),MAX(0,TODAY()-B227)))</f>
        <v/>
      </c>
    </row>
    <row r="228">
      <c r="B228" s="5" t="n"/>
      <c r="J228" s="5" t="n"/>
      <c r="L228" s="6">
        <f>IF(B228="","",IF(J228&lt;&gt;"",MAX(0,J228-B228),MAX(0,TODAY()-B228)))</f>
        <v/>
      </c>
    </row>
    <row r="229">
      <c r="B229" s="5" t="n"/>
      <c r="J229" s="5" t="n"/>
      <c r="L229" s="6">
        <f>IF(B229="","",IF(J229&lt;&gt;"",MAX(0,J229-B229),MAX(0,TODAY()-B229)))</f>
        <v/>
      </c>
    </row>
    <row r="230">
      <c r="B230" s="5" t="n"/>
      <c r="J230" s="5" t="n"/>
      <c r="L230" s="6">
        <f>IF(B230="","",IF(J230&lt;&gt;"",MAX(0,J230-B230),MAX(0,TODAY()-B230)))</f>
        <v/>
      </c>
    </row>
    <row r="231">
      <c r="B231" s="5" t="n"/>
      <c r="J231" s="5" t="n"/>
      <c r="L231" s="6">
        <f>IF(B231="","",IF(J231&lt;&gt;"",MAX(0,J231-B231),MAX(0,TODAY()-B231)))</f>
        <v/>
      </c>
    </row>
    <row r="232">
      <c r="B232" s="5" t="n"/>
      <c r="J232" s="5" t="n"/>
      <c r="L232" s="6">
        <f>IF(B232="","",IF(J232&lt;&gt;"",MAX(0,J232-B232),MAX(0,TODAY()-B232)))</f>
        <v/>
      </c>
    </row>
    <row r="233">
      <c r="B233" s="5" t="n"/>
      <c r="J233" s="5" t="n"/>
      <c r="L233" s="6">
        <f>IF(B233="","",IF(J233&lt;&gt;"",MAX(0,J233-B233),MAX(0,TODAY()-B233)))</f>
        <v/>
      </c>
    </row>
    <row r="234">
      <c r="B234" s="5" t="n"/>
      <c r="J234" s="5" t="n"/>
      <c r="L234" s="6">
        <f>IF(B234="","",IF(J234&lt;&gt;"",MAX(0,J234-B234),MAX(0,TODAY()-B234)))</f>
        <v/>
      </c>
    </row>
    <row r="235">
      <c r="B235" s="5" t="n"/>
      <c r="J235" s="5" t="n"/>
      <c r="L235" s="6">
        <f>IF(B235="","",IF(J235&lt;&gt;"",MAX(0,J235-B235),MAX(0,TODAY()-B235)))</f>
        <v/>
      </c>
    </row>
    <row r="236">
      <c r="B236" s="5" t="n"/>
      <c r="J236" s="5" t="n"/>
      <c r="L236" s="6">
        <f>IF(B236="","",IF(J236&lt;&gt;"",MAX(0,J236-B236),MAX(0,TODAY()-B236)))</f>
        <v/>
      </c>
    </row>
    <row r="237">
      <c r="B237" s="5" t="n"/>
      <c r="J237" s="5" t="n"/>
      <c r="L237" s="6">
        <f>IF(B237="","",IF(J237&lt;&gt;"",MAX(0,J237-B237),MAX(0,TODAY()-B237)))</f>
        <v/>
      </c>
    </row>
    <row r="238">
      <c r="B238" s="5" t="n"/>
      <c r="J238" s="5" t="n"/>
      <c r="L238" s="6">
        <f>IF(B238="","",IF(J238&lt;&gt;"",MAX(0,J238-B238),MAX(0,TODAY()-B238)))</f>
        <v/>
      </c>
    </row>
    <row r="239">
      <c r="B239" s="5" t="n"/>
      <c r="J239" s="5" t="n"/>
      <c r="L239" s="6">
        <f>IF(B239="","",IF(J239&lt;&gt;"",MAX(0,J239-B239),MAX(0,TODAY()-B239)))</f>
        <v/>
      </c>
    </row>
    <row r="240">
      <c r="B240" s="5" t="n"/>
      <c r="J240" s="5" t="n"/>
      <c r="L240" s="6">
        <f>IF(B240="","",IF(J240&lt;&gt;"",MAX(0,J240-B240),MAX(0,TODAY()-B240)))</f>
        <v/>
      </c>
    </row>
    <row r="241">
      <c r="B241" s="5" t="n"/>
      <c r="J241" s="5" t="n"/>
      <c r="L241" s="6">
        <f>IF(B241="","",IF(J241&lt;&gt;"",MAX(0,J241-B241),MAX(0,TODAY()-B241)))</f>
        <v/>
      </c>
    </row>
    <row r="242">
      <c r="B242" s="5" t="n"/>
      <c r="J242" s="5" t="n"/>
      <c r="L242" s="6">
        <f>IF(B242="","",IF(J242&lt;&gt;"",MAX(0,J242-B242),MAX(0,TODAY()-B242)))</f>
        <v/>
      </c>
    </row>
    <row r="243">
      <c r="B243" s="5" t="n"/>
      <c r="J243" s="5" t="n"/>
      <c r="L243" s="6">
        <f>IF(B243="","",IF(J243&lt;&gt;"",MAX(0,J243-B243),MAX(0,TODAY()-B243)))</f>
        <v/>
      </c>
    </row>
    <row r="244">
      <c r="B244" s="5" t="n"/>
      <c r="J244" s="5" t="n"/>
      <c r="L244" s="6">
        <f>IF(B244="","",IF(J244&lt;&gt;"",MAX(0,J244-B244),MAX(0,TODAY()-B244)))</f>
        <v/>
      </c>
    </row>
    <row r="245">
      <c r="B245" s="5" t="n"/>
      <c r="J245" s="5" t="n"/>
      <c r="L245" s="6">
        <f>IF(B245="","",IF(J245&lt;&gt;"",MAX(0,J245-B245),MAX(0,TODAY()-B245)))</f>
        <v/>
      </c>
    </row>
    <row r="246">
      <c r="B246" s="5" t="n"/>
      <c r="J246" s="5" t="n"/>
      <c r="L246" s="6">
        <f>IF(B246="","",IF(J246&lt;&gt;"",MAX(0,J246-B246),MAX(0,TODAY()-B246)))</f>
        <v/>
      </c>
    </row>
    <row r="247">
      <c r="B247" s="5" t="n"/>
      <c r="J247" s="5" t="n"/>
      <c r="L247" s="6">
        <f>IF(B247="","",IF(J247&lt;&gt;"",MAX(0,J247-B247),MAX(0,TODAY()-B247)))</f>
        <v/>
      </c>
    </row>
    <row r="248">
      <c r="B248" s="5" t="n"/>
      <c r="J248" s="5" t="n"/>
      <c r="L248" s="6">
        <f>IF(B248="","",IF(J248&lt;&gt;"",MAX(0,J248-B248),MAX(0,TODAY()-B248)))</f>
        <v/>
      </c>
    </row>
    <row r="249">
      <c r="B249" s="5" t="n"/>
      <c r="J249" s="5" t="n"/>
      <c r="L249" s="6">
        <f>IF(B249="","",IF(J249&lt;&gt;"",MAX(0,J249-B249),MAX(0,TODAY()-B249)))</f>
        <v/>
      </c>
    </row>
    <row r="250">
      <c r="B250" s="5" t="n"/>
      <c r="J250" s="5" t="n"/>
      <c r="L250" s="6">
        <f>IF(B250="","",IF(J250&lt;&gt;"",MAX(0,J250-B250),MAX(0,TODAY()-B250)))</f>
        <v/>
      </c>
    </row>
    <row r="251">
      <c r="B251" s="5" t="n"/>
      <c r="J251" s="5" t="n"/>
      <c r="L251" s="6">
        <f>IF(B251="","",IF(J251&lt;&gt;"",MAX(0,J251-B251),MAX(0,TODAY()-B251)))</f>
        <v/>
      </c>
    </row>
    <row r="252">
      <c r="B252" s="5" t="n"/>
      <c r="J252" s="5" t="n"/>
      <c r="L252" s="6">
        <f>IF(B252="","",IF(J252&lt;&gt;"",MAX(0,J252-B252),MAX(0,TODAY()-B252)))</f>
        <v/>
      </c>
    </row>
    <row r="253">
      <c r="B253" s="5" t="n"/>
      <c r="J253" s="5" t="n"/>
      <c r="L253" s="6">
        <f>IF(B253="","",IF(J253&lt;&gt;"",MAX(0,J253-B253),MAX(0,TODAY()-B253)))</f>
        <v/>
      </c>
    </row>
    <row r="254">
      <c r="B254" s="5" t="n"/>
      <c r="J254" s="5" t="n"/>
      <c r="L254" s="6">
        <f>IF(B254="","",IF(J254&lt;&gt;"",MAX(0,J254-B254),MAX(0,TODAY()-B254)))</f>
        <v/>
      </c>
    </row>
    <row r="255">
      <c r="B255" s="5" t="n"/>
      <c r="J255" s="5" t="n"/>
      <c r="L255" s="6">
        <f>IF(B255="","",IF(J255&lt;&gt;"",MAX(0,J255-B255),MAX(0,TODAY()-B255)))</f>
        <v/>
      </c>
    </row>
    <row r="256">
      <c r="B256" s="5" t="n"/>
      <c r="J256" s="5" t="n"/>
      <c r="L256" s="6">
        <f>IF(B256="","",IF(J256&lt;&gt;"",MAX(0,J256-B256),MAX(0,TODAY()-B256)))</f>
        <v/>
      </c>
    </row>
    <row r="257">
      <c r="B257" s="5" t="n"/>
      <c r="J257" s="5" t="n"/>
      <c r="L257" s="6">
        <f>IF(B257="","",IF(J257&lt;&gt;"",MAX(0,J257-B257),MAX(0,TODAY()-B257)))</f>
        <v/>
      </c>
    </row>
    <row r="258">
      <c r="B258" s="5" t="n"/>
      <c r="J258" s="5" t="n"/>
      <c r="L258" s="6">
        <f>IF(B258="","",IF(J258&lt;&gt;"",MAX(0,J258-B258),MAX(0,TODAY()-B258)))</f>
        <v/>
      </c>
    </row>
    <row r="259">
      <c r="B259" s="5" t="n"/>
      <c r="J259" s="5" t="n"/>
      <c r="L259" s="6">
        <f>IF(B259="","",IF(J259&lt;&gt;"",MAX(0,J259-B259),MAX(0,TODAY()-B259)))</f>
        <v/>
      </c>
    </row>
    <row r="260">
      <c r="B260" s="5" t="n"/>
      <c r="J260" s="5" t="n"/>
      <c r="L260" s="6">
        <f>IF(B260="","",IF(J260&lt;&gt;"",MAX(0,J260-B260),MAX(0,TODAY()-B260)))</f>
        <v/>
      </c>
    </row>
    <row r="261">
      <c r="B261" s="5" t="n"/>
      <c r="J261" s="5" t="n"/>
      <c r="L261" s="6">
        <f>IF(B261="","",IF(J261&lt;&gt;"",MAX(0,J261-B261),MAX(0,TODAY()-B261)))</f>
        <v/>
      </c>
    </row>
    <row r="262">
      <c r="B262" s="5" t="n"/>
      <c r="J262" s="5" t="n"/>
      <c r="L262" s="6">
        <f>IF(B262="","",IF(J262&lt;&gt;"",MAX(0,J262-B262),MAX(0,TODAY()-B262)))</f>
        <v/>
      </c>
    </row>
    <row r="263">
      <c r="B263" s="5" t="n"/>
      <c r="J263" s="5" t="n"/>
      <c r="L263" s="6">
        <f>IF(B263="","",IF(J263&lt;&gt;"",MAX(0,J263-B263),MAX(0,TODAY()-B263)))</f>
        <v/>
      </c>
    </row>
    <row r="264">
      <c r="B264" s="5" t="n"/>
      <c r="J264" s="5" t="n"/>
      <c r="L264" s="6">
        <f>IF(B264="","",IF(J264&lt;&gt;"",MAX(0,J264-B264),MAX(0,TODAY()-B264)))</f>
        <v/>
      </c>
    </row>
    <row r="265">
      <c r="B265" s="5" t="n"/>
      <c r="J265" s="5" t="n"/>
      <c r="L265" s="6">
        <f>IF(B265="","",IF(J265&lt;&gt;"",MAX(0,J265-B265),MAX(0,TODAY()-B265)))</f>
        <v/>
      </c>
    </row>
    <row r="266">
      <c r="B266" s="5" t="n"/>
      <c r="J266" s="5" t="n"/>
      <c r="L266" s="6">
        <f>IF(B266="","",IF(J266&lt;&gt;"",MAX(0,J266-B266),MAX(0,TODAY()-B266)))</f>
        <v/>
      </c>
    </row>
    <row r="267">
      <c r="B267" s="5" t="n"/>
      <c r="J267" s="5" t="n"/>
      <c r="L267" s="6">
        <f>IF(B267="","",IF(J267&lt;&gt;"",MAX(0,J267-B267),MAX(0,TODAY()-B267)))</f>
        <v/>
      </c>
    </row>
    <row r="268">
      <c r="B268" s="5" t="n"/>
      <c r="J268" s="5" t="n"/>
      <c r="L268" s="6">
        <f>IF(B268="","",IF(J268&lt;&gt;"",MAX(0,J268-B268),MAX(0,TODAY()-B268)))</f>
        <v/>
      </c>
    </row>
    <row r="269">
      <c r="B269" s="5" t="n"/>
      <c r="J269" s="5" t="n"/>
      <c r="L269" s="6">
        <f>IF(B269="","",IF(J269&lt;&gt;"",MAX(0,J269-B269),MAX(0,TODAY()-B269)))</f>
        <v/>
      </c>
    </row>
    <row r="270">
      <c r="B270" s="5" t="n"/>
      <c r="J270" s="5" t="n"/>
      <c r="L270" s="6">
        <f>IF(B270="","",IF(J270&lt;&gt;"",MAX(0,J270-B270),MAX(0,TODAY()-B270)))</f>
        <v/>
      </c>
    </row>
    <row r="271">
      <c r="B271" s="5" t="n"/>
      <c r="J271" s="5" t="n"/>
      <c r="L271" s="6">
        <f>IF(B271="","",IF(J271&lt;&gt;"",MAX(0,J271-B271),MAX(0,TODAY()-B271)))</f>
        <v/>
      </c>
    </row>
    <row r="272">
      <c r="B272" s="5" t="n"/>
      <c r="J272" s="5" t="n"/>
      <c r="L272" s="6">
        <f>IF(B272="","",IF(J272&lt;&gt;"",MAX(0,J272-B272),MAX(0,TODAY()-B272)))</f>
        <v/>
      </c>
    </row>
    <row r="273">
      <c r="B273" s="5" t="n"/>
      <c r="J273" s="5" t="n"/>
      <c r="L273" s="6">
        <f>IF(B273="","",IF(J273&lt;&gt;"",MAX(0,J273-B273),MAX(0,TODAY()-B273)))</f>
        <v/>
      </c>
    </row>
    <row r="274">
      <c r="B274" s="5" t="n"/>
      <c r="J274" s="5" t="n"/>
      <c r="L274" s="6">
        <f>IF(B274="","",IF(J274&lt;&gt;"",MAX(0,J274-B274),MAX(0,TODAY()-B274)))</f>
        <v/>
      </c>
    </row>
    <row r="275">
      <c r="B275" s="5" t="n"/>
      <c r="J275" s="5" t="n"/>
      <c r="L275" s="6">
        <f>IF(B275="","",IF(J275&lt;&gt;"",MAX(0,J275-B275),MAX(0,TODAY()-B275)))</f>
        <v/>
      </c>
    </row>
    <row r="276">
      <c r="B276" s="5" t="n"/>
      <c r="J276" s="5" t="n"/>
      <c r="L276" s="6">
        <f>IF(B276="","",IF(J276&lt;&gt;"",MAX(0,J276-B276),MAX(0,TODAY()-B276)))</f>
        <v/>
      </c>
    </row>
    <row r="277">
      <c r="B277" s="5" t="n"/>
      <c r="J277" s="5" t="n"/>
      <c r="L277" s="6">
        <f>IF(B277="","",IF(J277&lt;&gt;"",MAX(0,J277-B277),MAX(0,TODAY()-B277)))</f>
        <v/>
      </c>
    </row>
    <row r="278">
      <c r="B278" s="5" t="n"/>
      <c r="J278" s="5" t="n"/>
      <c r="L278" s="6">
        <f>IF(B278="","",IF(J278&lt;&gt;"",MAX(0,J278-B278),MAX(0,TODAY()-B278)))</f>
        <v/>
      </c>
    </row>
    <row r="279">
      <c r="B279" s="5" t="n"/>
      <c r="J279" s="5" t="n"/>
      <c r="L279" s="6">
        <f>IF(B279="","",IF(J279&lt;&gt;"",MAX(0,J279-B279),MAX(0,TODAY()-B279)))</f>
        <v/>
      </c>
    </row>
    <row r="280">
      <c r="B280" s="5" t="n"/>
      <c r="J280" s="5" t="n"/>
      <c r="L280" s="6">
        <f>IF(B280="","",IF(J280&lt;&gt;"",MAX(0,J280-B280),MAX(0,TODAY()-B280)))</f>
        <v/>
      </c>
    </row>
    <row r="281">
      <c r="B281" s="5" t="n"/>
      <c r="J281" s="5" t="n"/>
      <c r="L281" s="6">
        <f>IF(B281="","",IF(J281&lt;&gt;"",MAX(0,J281-B281),MAX(0,TODAY()-B281)))</f>
        <v/>
      </c>
    </row>
    <row r="282">
      <c r="B282" s="5" t="n"/>
      <c r="J282" s="5" t="n"/>
      <c r="L282" s="6">
        <f>IF(B282="","",IF(J282&lt;&gt;"",MAX(0,J282-B282),MAX(0,TODAY()-B282)))</f>
        <v/>
      </c>
    </row>
    <row r="283">
      <c r="B283" s="5" t="n"/>
      <c r="J283" s="5" t="n"/>
      <c r="L283" s="6">
        <f>IF(B283="","",IF(J283&lt;&gt;"",MAX(0,J283-B283),MAX(0,TODAY()-B283)))</f>
        <v/>
      </c>
    </row>
    <row r="284">
      <c r="B284" s="5" t="n"/>
      <c r="J284" s="5" t="n"/>
      <c r="L284" s="6">
        <f>IF(B284="","",IF(J284&lt;&gt;"",MAX(0,J284-B284),MAX(0,TODAY()-B284)))</f>
        <v/>
      </c>
    </row>
    <row r="285">
      <c r="B285" s="5" t="n"/>
      <c r="J285" s="5" t="n"/>
      <c r="L285" s="6">
        <f>IF(B285="","",IF(J285&lt;&gt;"",MAX(0,J285-B285),MAX(0,TODAY()-B285)))</f>
        <v/>
      </c>
    </row>
    <row r="286">
      <c r="B286" s="5" t="n"/>
      <c r="J286" s="5" t="n"/>
      <c r="L286" s="6">
        <f>IF(B286="","",IF(J286&lt;&gt;"",MAX(0,J286-B286),MAX(0,TODAY()-B286)))</f>
        <v/>
      </c>
    </row>
    <row r="287">
      <c r="B287" s="5" t="n"/>
      <c r="J287" s="5" t="n"/>
      <c r="L287" s="6">
        <f>IF(B287="","",IF(J287&lt;&gt;"",MAX(0,J287-B287),MAX(0,TODAY()-B287)))</f>
        <v/>
      </c>
    </row>
    <row r="288">
      <c r="B288" s="5" t="n"/>
      <c r="J288" s="5" t="n"/>
      <c r="L288" s="6">
        <f>IF(B288="","",IF(J288&lt;&gt;"",MAX(0,J288-B288),MAX(0,TODAY()-B288)))</f>
        <v/>
      </c>
    </row>
    <row r="289">
      <c r="B289" s="5" t="n"/>
      <c r="J289" s="5" t="n"/>
      <c r="L289" s="6">
        <f>IF(B289="","",IF(J289&lt;&gt;"",MAX(0,J289-B289),MAX(0,TODAY()-B289)))</f>
        <v/>
      </c>
    </row>
    <row r="290">
      <c r="B290" s="5" t="n"/>
      <c r="J290" s="5" t="n"/>
      <c r="L290" s="6">
        <f>IF(B290="","",IF(J290&lt;&gt;"",MAX(0,J290-B290),MAX(0,TODAY()-B290)))</f>
        <v/>
      </c>
    </row>
    <row r="291">
      <c r="B291" s="5" t="n"/>
      <c r="J291" s="5" t="n"/>
      <c r="L291" s="6">
        <f>IF(B291="","",IF(J291&lt;&gt;"",MAX(0,J291-B291),MAX(0,TODAY()-B291)))</f>
        <v/>
      </c>
    </row>
    <row r="292">
      <c r="B292" s="5" t="n"/>
      <c r="J292" s="5" t="n"/>
      <c r="L292" s="6">
        <f>IF(B292="","",IF(J292&lt;&gt;"",MAX(0,J292-B292),MAX(0,TODAY()-B292)))</f>
        <v/>
      </c>
    </row>
    <row r="293">
      <c r="B293" s="5" t="n"/>
      <c r="J293" s="5" t="n"/>
      <c r="L293" s="6">
        <f>IF(B293="","",IF(J293&lt;&gt;"",MAX(0,J293-B293),MAX(0,TODAY()-B293)))</f>
        <v/>
      </c>
    </row>
    <row r="294">
      <c r="B294" s="5" t="n"/>
      <c r="J294" s="5" t="n"/>
      <c r="L294" s="6">
        <f>IF(B294="","",IF(J294&lt;&gt;"",MAX(0,J294-B294),MAX(0,TODAY()-B294)))</f>
        <v/>
      </c>
    </row>
    <row r="295">
      <c r="B295" s="5" t="n"/>
      <c r="J295" s="5" t="n"/>
      <c r="L295" s="6">
        <f>IF(B295="","",IF(J295&lt;&gt;"",MAX(0,J295-B295),MAX(0,TODAY()-B295)))</f>
        <v/>
      </c>
    </row>
    <row r="296">
      <c r="B296" s="5" t="n"/>
      <c r="J296" s="5" t="n"/>
      <c r="L296" s="6">
        <f>IF(B296="","",IF(J296&lt;&gt;"",MAX(0,J296-B296),MAX(0,TODAY()-B296)))</f>
        <v/>
      </c>
    </row>
    <row r="297">
      <c r="B297" s="5" t="n"/>
      <c r="J297" s="5" t="n"/>
      <c r="L297" s="6">
        <f>IF(B297="","",IF(J297&lt;&gt;"",MAX(0,J297-B297),MAX(0,TODAY()-B297)))</f>
        <v/>
      </c>
    </row>
    <row r="298">
      <c r="B298" s="5" t="n"/>
      <c r="J298" s="5" t="n"/>
      <c r="L298" s="6">
        <f>IF(B298="","",IF(J298&lt;&gt;"",MAX(0,J298-B298),MAX(0,TODAY()-B298)))</f>
        <v/>
      </c>
    </row>
    <row r="299">
      <c r="B299" s="5" t="n"/>
      <c r="J299" s="5" t="n"/>
      <c r="L299" s="6">
        <f>IF(B299="","",IF(J299&lt;&gt;"",MAX(0,J299-B299),MAX(0,TODAY()-B299)))</f>
        <v/>
      </c>
    </row>
    <row r="300">
      <c r="B300" s="5" t="n"/>
      <c r="J300" s="5" t="n"/>
      <c r="L300" s="6">
        <f>IF(B300="","",IF(J300&lt;&gt;"",MAX(0,J300-B300),MAX(0,TODAY()-B300)))</f>
        <v/>
      </c>
    </row>
    <row r="301">
      <c r="B301" s="5" t="n"/>
      <c r="J301" s="5" t="n"/>
      <c r="L301" s="6">
        <f>IF(B301="","",IF(J301&lt;&gt;"",MAX(0,J301-B301),MAX(0,TODAY()-B301)))</f>
        <v/>
      </c>
    </row>
    <row r="302">
      <c r="B302" s="5" t="n"/>
      <c r="J302" s="5" t="n"/>
      <c r="L302" s="6">
        <f>IF(B302="","",IF(J302&lt;&gt;"",MAX(0,J302-B302),MAX(0,TODAY()-B302)))</f>
        <v/>
      </c>
    </row>
    <row r="303">
      <c r="B303" s="5" t="n"/>
      <c r="J303" s="5" t="n"/>
      <c r="L303" s="6">
        <f>IF(B303="","",IF(J303&lt;&gt;"",MAX(0,J303-B303),MAX(0,TODAY()-B303)))</f>
        <v/>
      </c>
    </row>
    <row r="304">
      <c r="B304" s="5" t="n"/>
      <c r="J304" s="5" t="n"/>
      <c r="L304" s="6">
        <f>IF(B304="","",IF(J304&lt;&gt;"",MAX(0,J304-B304),MAX(0,TODAY()-B304)))</f>
        <v/>
      </c>
    </row>
    <row r="305">
      <c r="B305" s="5" t="n"/>
      <c r="J305" s="5" t="n"/>
      <c r="L305" s="6">
        <f>IF(B305="","",IF(J305&lt;&gt;"",MAX(0,J305-B305),MAX(0,TODAY()-B305)))</f>
        <v/>
      </c>
    </row>
    <row r="306">
      <c r="B306" s="5" t="n"/>
      <c r="J306" s="5" t="n"/>
      <c r="L306" s="6">
        <f>IF(B306="","",IF(J306&lt;&gt;"",MAX(0,J306-B306),MAX(0,TODAY()-B306)))</f>
        <v/>
      </c>
    </row>
    <row r="307">
      <c r="B307" s="5" t="n"/>
      <c r="J307" s="5" t="n"/>
      <c r="L307" s="6">
        <f>IF(B307="","",IF(J307&lt;&gt;"",MAX(0,J307-B307),MAX(0,TODAY()-B307)))</f>
        <v/>
      </c>
    </row>
    <row r="308">
      <c r="B308" s="5" t="n"/>
      <c r="J308" s="5" t="n"/>
      <c r="L308" s="6">
        <f>IF(B308="","",IF(J308&lt;&gt;"",MAX(0,J308-B308),MAX(0,TODAY()-B308)))</f>
        <v/>
      </c>
    </row>
    <row r="309">
      <c r="B309" s="5" t="n"/>
      <c r="J309" s="5" t="n"/>
      <c r="L309" s="6">
        <f>IF(B309="","",IF(J309&lt;&gt;"",MAX(0,J309-B309),MAX(0,TODAY()-B309)))</f>
        <v/>
      </c>
    </row>
    <row r="310">
      <c r="B310" s="5" t="n"/>
      <c r="J310" s="5" t="n"/>
      <c r="L310" s="6">
        <f>IF(B310="","",IF(J310&lt;&gt;"",MAX(0,J310-B310),MAX(0,TODAY()-B310)))</f>
        <v/>
      </c>
    </row>
    <row r="311">
      <c r="B311" s="5" t="n"/>
      <c r="J311" s="5" t="n"/>
      <c r="L311" s="6">
        <f>IF(B311="","",IF(J311&lt;&gt;"",MAX(0,J311-B311),MAX(0,TODAY()-B311)))</f>
        <v/>
      </c>
    </row>
    <row r="312">
      <c r="B312" s="5" t="n"/>
      <c r="J312" s="5" t="n"/>
      <c r="L312" s="6">
        <f>IF(B312="","",IF(J312&lt;&gt;"",MAX(0,J312-B312),MAX(0,TODAY()-B312)))</f>
        <v/>
      </c>
    </row>
    <row r="313">
      <c r="B313" s="5" t="n"/>
      <c r="J313" s="5" t="n"/>
      <c r="L313" s="6">
        <f>IF(B313="","",IF(J313&lt;&gt;"",MAX(0,J313-B313),MAX(0,TODAY()-B313)))</f>
        <v/>
      </c>
    </row>
    <row r="314">
      <c r="B314" s="5" t="n"/>
      <c r="J314" s="5" t="n"/>
      <c r="L314" s="6">
        <f>IF(B314="","",IF(J314&lt;&gt;"",MAX(0,J314-B314),MAX(0,TODAY()-B314)))</f>
        <v/>
      </c>
    </row>
    <row r="315">
      <c r="B315" s="5" t="n"/>
      <c r="J315" s="5" t="n"/>
      <c r="L315" s="6">
        <f>IF(B315="","",IF(J315&lt;&gt;"",MAX(0,J315-B315),MAX(0,TODAY()-B315)))</f>
        <v/>
      </c>
    </row>
    <row r="316">
      <c r="B316" s="5" t="n"/>
      <c r="J316" s="5" t="n"/>
      <c r="L316" s="6">
        <f>IF(B316="","",IF(J316&lt;&gt;"",MAX(0,J316-B316),MAX(0,TODAY()-B316)))</f>
        <v/>
      </c>
    </row>
    <row r="317">
      <c r="B317" s="5" t="n"/>
      <c r="J317" s="5" t="n"/>
      <c r="L317" s="6">
        <f>IF(B317="","",IF(J317&lt;&gt;"",MAX(0,J317-B317),MAX(0,TODAY()-B317)))</f>
        <v/>
      </c>
    </row>
    <row r="318">
      <c r="B318" s="5" t="n"/>
      <c r="J318" s="5" t="n"/>
      <c r="L318" s="6">
        <f>IF(B318="","",IF(J318&lt;&gt;"",MAX(0,J318-B318),MAX(0,TODAY()-B318)))</f>
        <v/>
      </c>
    </row>
    <row r="319">
      <c r="B319" s="5" t="n"/>
      <c r="J319" s="5" t="n"/>
      <c r="L319" s="6">
        <f>IF(B319="","",IF(J319&lt;&gt;"",MAX(0,J319-B319),MAX(0,TODAY()-B319)))</f>
        <v/>
      </c>
    </row>
    <row r="320">
      <c r="B320" s="5" t="n"/>
      <c r="J320" s="5" t="n"/>
      <c r="L320" s="6">
        <f>IF(B320="","",IF(J320&lt;&gt;"",MAX(0,J320-B320),MAX(0,TODAY()-B320)))</f>
        <v/>
      </c>
    </row>
    <row r="321">
      <c r="B321" s="5" t="n"/>
      <c r="J321" s="5" t="n"/>
      <c r="L321" s="6">
        <f>IF(B321="","",IF(J321&lt;&gt;"",MAX(0,J321-B321),MAX(0,TODAY()-B321)))</f>
        <v/>
      </c>
    </row>
    <row r="322">
      <c r="B322" s="5" t="n"/>
      <c r="J322" s="5" t="n"/>
      <c r="L322" s="6">
        <f>IF(B322="","",IF(J322&lt;&gt;"",MAX(0,J322-B322),MAX(0,TODAY()-B322)))</f>
        <v/>
      </c>
    </row>
    <row r="323">
      <c r="B323" s="5" t="n"/>
      <c r="J323" s="5" t="n"/>
      <c r="L323" s="6">
        <f>IF(B323="","",IF(J323&lt;&gt;"",MAX(0,J323-B323),MAX(0,TODAY()-B323)))</f>
        <v/>
      </c>
    </row>
    <row r="324">
      <c r="B324" s="5" t="n"/>
      <c r="J324" s="5" t="n"/>
      <c r="L324" s="6">
        <f>IF(B324="","",IF(J324&lt;&gt;"",MAX(0,J324-B324),MAX(0,TODAY()-B324)))</f>
        <v/>
      </c>
    </row>
    <row r="325">
      <c r="B325" s="5" t="n"/>
      <c r="J325" s="5" t="n"/>
      <c r="L325" s="6">
        <f>IF(B325="","",IF(J325&lt;&gt;"",MAX(0,J325-B325),MAX(0,TODAY()-B325)))</f>
        <v/>
      </c>
    </row>
    <row r="326">
      <c r="B326" s="5" t="n"/>
      <c r="J326" s="5" t="n"/>
      <c r="L326" s="6">
        <f>IF(B326="","",IF(J326&lt;&gt;"",MAX(0,J326-B326),MAX(0,TODAY()-B326)))</f>
        <v/>
      </c>
    </row>
    <row r="327">
      <c r="B327" s="5" t="n"/>
      <c r="J327" s="5" t="n"/>
      <c r="L327" s="6">
        <f>IF(B327="","",IF(J327&lt;&gt;"",MAX(0,J327-B327),MAX(0,TODAY()-B327)))</f>
        <v/>
      </c>
    </row>
    <row r="328">
      <c r="B328" s="5" t="n"/>
      <c r="J328" s="5" t="n"/>
      <c r="L328" s="6">
        <f>IF(B328="","",IF(J328&lt;&gt;"",MAX(0,J328-B328),MAX(0,TODAY()-B328)))</f>
        <v/>
      </c>
    </row>
    <row r="329">
      <c r="B329" s="5" t="n"/>
      <c r="J329" s="5" t="n"/>
      <c r="L329" s="6">
        <f>IF(B329="","",IF(J329&lt;&gt;"",MAX(0,J329-B329),MAX(0,TODAY()-B329)))</f>
        <v/>
      </c>
    </row>
    <row r="330">
      <c r="B330" s="5" t="n"/>
      <c r="J330" s="5" t="n"/>
      <c r="L330" s="6">
        <f>IF(B330="","",IF(J330&lt;&gt;"",MAX(0,J330-B330),MAX(0,TODAY()-B330)))</f>
        <v/>
      </c>
    </row>
    <row r="331">
      <c r="B331" s="5" t="n"/>
      <c r="J331" s="5" t="n"/>
      <c r="L331" s="6">
        <f>IF(B331="","",IF(J331&lt;&gt;"",MAX(0,J331-B331),MAX(0,TODAY()-B331)))</f>
        <v/>
      </c>
    </row>
    <row r="332">
      <c r="B332" s="5" t="n"/>
      <c r="J332" s="5" t="n"/>
      <c r="L332" s="6">
        <f>IF(B332="","",IF(J332&lt;&gt;"",MAX(0,J332-B332),MAX(0,TODAY()-B332)))</f>
        <v/>
      </c>
    </row>
    <row r="333">
      <c r="B333" s="5" t="n"/>
      <c r="J333" s="5" t="n"/>
      <c r="L333" s="6">
        <f>IF(B333="","",IF(J333&lt;&gt;"",MAX(0,J333-B333),MAX(0,TODAY()-B333)))</f>
        <v/>
      </c>
    </row>
    <row r="334">
      <c r="B334" s="5" t="n"/>
      <c r="J334" s="5" t="n"/>
      <c r="L334" s="6">
        <f>IF(B334="","",IF(J334&lt;&gt;"",MAX(0,J334-B334),MAX(0,TODAY()-B334)))</f>
        <v/>
      </c>
    </row>
    <row r="335">
      <c r="B335" s="5" t="n"/>
      <c r="J335" s="5" t="n"/>
      <c r="L335" s="6">
        <f>IF(B335="","",IF(J335&lt;&gt;"",MAX(0,J335-B335),MAX(0,TODAY()-B335)))</f>
        <v/>
      </c>
    </row>
    <row r="336">
      <c r="B336" s="5" t="n"/>
      <c r="J336" s="5" t="n"/>
      <c r="L336" s="6">
        <f>IF(B336="","",IF(J336&lt;&gt;"",MAX(0,J336-B336),MAX(0,TODAY()-B336)))</f>
        <v/>
      </c>
    </row>
    <row r="337">
      <c r="B337" s="5" t="n"/>
      <c r="J337" s="5" t="n"/>
      <c r="L337" s="6">
        <f>IF(B337="","",IF(J337&lt;&gt;"",MAX(0,J337-B337),MAX(0,TODAY()-B337)))</f>
        <v/>
      </c>
    </row>
    <row r="338">
      <c r="B338" s="5" t="n"/>
      <c r="J338" s="5" t="n"/>
      <c r="L338" s="6">
        <f>IF(B338="","",IF(J338&lt;&gt;"",MAX(0,J338-B338),MAX(0,TODAY()-B338)))</f>
        <v/>
      </c>
    </row>
    <row r="339">
      <c r="B339" s="5" t="n"/>
      <c r="J339" s="5" t="n"/>
      <c r="L339" s="6">
        <f>IF(B339="","",IF(J339&lt;&gt;"",MAX(0,J339-B339),MAX(0,TODAY()-B339)))</f>
        <v/>
      </c>
    </row>
    <row r="340">
      <c r="B340" s="5" t="n"/>
      <c r="J340" s="5" t="n"/>
      <c r="L340" s="6">
        <f>IF(B340="","",IF(J340&lt;&gt;"",MAX(0,J340-B340),MAX(0,TODAY()-B340)))</f>
        <v/>
      </c>
    </row>
    <row r="341">
      <c r="B341" s="5" t="n"/>
      <c r="J341" s="5" t="n"/>
      <c r="L341" s="6">
        <f>IF(B341="","",IF(J341&lt;&gt;"",MAX(0,J341-B341),MAX(0,TODAY()-B341)))</f>
        <v/>
      </c>
    </row>
    <row r="342">
      <c r="B342" s="5" t="n"/>
      <c r="J342" s="5" t="n"/>
      <c r="L342" s="6">
        <f>IF(B342="","",IF(J342&lt;&gt;"",MAX(0,J342-B342),MAX(0,TODAY()-B342)))</f>
        <v/>
      </c>
    </row>
    <row r="343">
      <c r="B343" s="5" t="n"/>
      <c r="J343" s="5" t="n"/>
      <c r="L343" s="6">
        <f>IF(B343="","",IF(J343&lt;&gt;"",MAX(0,J343-B343),MAX(0,TODAY()-B343)))</f>
        <v/>
      </c>
    </row>
    <row r="344">
      <c r="B344" s="5" t="n"/>
      <c r="J344" s="5" t="n"/>
      <c r="L344" s="6">
        <f>IF(B344="","",IF(J344&lt;&gt;"",MAX(0,J344-B344),MAX(0,TODAY()-B344)))</f>
        <v/>
      </c>
    </row>
    <row r="345">
      <c r="B345" s="5" t="n"/>
      <c r="J345" s="5" t="n"/>
      <c r="L345" s="6">
        <f>IF(B345="","",IF(J345&lt;&gt;"",MAX(0,J345-B345),MAX(0,TODAY()-B345)))</f>
        <v/>
      </c>
    </row>
    <row r="346">
      <c r="B346" s="5" t="n"/>
      <c r="J346" s="5" t="n"/>
      <c r="L346" s="6">
        <f>IF(B346="","",IF(J346&lt;&gt;"",MAX(0,J346-B346),MAX(0,TODAY()-B346)))</f>
        <v/>
      </c>
    </row>
    <row r="347">
      <c r="B347" s="5" t="n"/>
      <c r="J347" s="5" t="n"/>
      <c r="L347" s="6">
        <f>IF(B347="","",IF(J347&lt;&gt;"",MAX(0,J347-B347),MAX(0,TODAY()-B347)))</f>
        <v/>
      </c>
    </row>
    <row r="348">
      <c r="B348" s="5" t="n"/>
      <c r="J348" s="5" t="n"/>
      <c r="L348" s="6">
        <f>IF(B348="","",IF(J348&lt;&gt;"",MAX(0,J348-B348),MAX(0,TODAY()-B348)))</f>
        <v/>
      </c>
    </row>
    <row r="349">
      <c r="B349" s="5" t="n"/>
      <c r="J349" s="5" t="n"/>
      <c r="L349" s="6">
        <f>IF(B349="","",IF(J349&lt;&gt;"",MAX(0,J349-B349),MAX(0,TODAY()-B349)))</f>
        <v/>
      </c>
    </row>
    <row r="350">
      <c r="B350" s="5" t="n"/>
      <c r="J350" s="5" t="n"/>
      <c r="L350" s="6">
        <f>IF(B350="","",IF(J350&lt;&gt;"",MAX(0,J350-B350),MAX(0,TODAY()-B350)))</f>
        <v/>
      </c>
    </row>
    <row r="351">
      <c r="B351" s="5" t="n"/>
      <c r="J351" s="5" t="n"/>
      <c r="L351" s="6">
        <f>IF(B351="","",IF(J351&lt;&gt;"",MAX(0,J351-B351),MAX(0,TODAY()-B351)))</f>
        <v/>
      </c>
    </row>
    <row r="352">
      <c r="B352" s="5" t="n"/>
      <c r="J352" s="5" t="n"/>
      <c r="L352" s="6">
        <f>IF(B352="","",IF(J352&lt;&gt;"",MAX(0,J352-B352),MAX(0,TODAY()-B352)))</f>
        <v/>
      </c>
    </row>
    <row r="353">
      <c r="B353" s="5" t="n"/>
      <c r="J353" s="5" t="n"/>
      <c r="L353" s="6">
        <f>IF(B353="","",IF(J353&lt;&gt;"",MAX(0,J353-B353),MAX(0,TODAY()-B353)))</f>
        <v/>
      </c>
    </row>
    <row r="354">
      <c r="B354" s="5" t="n"/>
      <c r="J354" s="5" t="n"/>
      <c r="L354" s="6">
        <f>IF(B354="","",IF(J354&lt;&gt;"",MAX(0,J354-B354),MAX(0,TODAY()-B354)))</f>
        <v/>
      </c>
    </row>
    <row r="355">
      <c r="B355" s="5" t="n"/>
      <c r="J355" s="5" t="n"/>
      <c r="L355" s="6">
        <f>IF(B355="","",IF(J355&lt;&gt;"",MAX(0,J355-B355),MAX(0,TODAY()-B355)))</f>
        <v/>
      </c>
    </row>
    <row r="356">
      <c r="B356" s="5" t="n"/>
      <c r="J356" s="5" t="n"/>
      <c r="L356" s="6">
        <f>IF(B356="","",IF(J356&lt;&gt;"",MAX(0,J356-B356),MAX(0,TODAY()-B356)))</f>
        <v/>
      </c>
    </row>
    <row r="357">
      <c r="B357" s="5" t="n"/>
      <c r="J357" s="5" t="n"/>
      <c r="L357" s="6">
        <f>IF(B357="","",IF(J357&lt;&gt;"",MAX(0,J357-B357),MAX(0,TODAY()-B357)))</f>
        <v/>
      </c>
    </row>
    <row r="358">
      <c r="B358" s="5" t="n"/>
      <c r="J358" s="5" t="n"/>
      <c r="L358" s="6">
        <f>IF(B358="","",IF(J358&lt;&gt;"",MAX(0,J358-B358),MAX(0,TODAY()-B358)))</f>
        <v/>
      </c>
    </row>
    <row r="359">
      <c r="B359" s="5" t="n"/>
      <c r="J359" s="5" t="n"/>
      <c r="L359" s="6">
        <f>IF(B359="","",IF(J359&lt;&gt;"",MAX(0,J359-B359),MAX(0,TODAY()-B359)))</f>
        <v/>
      </c>
    </row>
    <row r="360">
      <c r="B360" s="5" t="n"/>
      <c r="J360" s="5" t="n"/>
      <c r="L360" s="6">
        <f>IF(B360="","",IF(J360&lt;&gt;"",MAX(0,J360-B360),MAX(0,TODAY()-B360)))</f>
        <v/>
      </c>
    </row>
    <row r="361">
      <c r="B361" s="5" t="n"/>
      <c r="J361" s="5" t="n"/>
      <c r="L361" s="6">
        <f>IF(B361="","",IF(J361&lt;&gt;"",MAX(0,J361-B361),MAX(0,TODAY()-B361)))</f>
        <v/>
      </c>
    </row>
    <row r="362">
      <c r="B362" s="5" t="n"/>
      <c r="J362" s="5" t="n"/>
      <c r="L362" s="6">
        <f>IF(B362="","",IF(J362&lt;&gt;"",MAX(0,J362-B362),MAX(0,TODAY()-B362)))</f>
        <v/>
      </c>
    </row>
    <row r="363">
      <c r="B363" s="5" t="n"/>
      <c r="J363" s="5" t="n"/>
      <c r="L363" s="6">
        <f>IF(B363="","",IF(J363&lt;&gt;"",MAX(0,J363-B363),MAX(0,TODAY()-B363)))</f>
        <v/>
      </c>
    </row>
    <row r="364">
      <c r="B364" s="5" t="n"/>
      <c r="J364" s="5" t="n"/>
      <c r="L364" s="6">
        <f>IF(B364="","",IF(J364&lt;&gt;"",MAX(0,J364-B364),MAX(0,TODAY()-B364)))</f>
        <v/>
      </c>
    </row>
    <row r="365">
      <c r="B365" s="5" t="n"/>
      <c r="J365" s="5" t="n"/>
      <c r="L365" s="6">
        <f>IF(B365="","",IF(J365&lt;&gt;"",MAX(0,J365-B365),MAX(0,TODAY()-B365)))</f>
        <v/>
      </c>
    </row>
    <row r="366">
      <c r="B366" s="5" t="n"/>
      <c r="J366" s="5" t="n"/>
      <c r="L366" s="6">
        <f>IF(B366="","",IF(J366&lt;&gt;"",MAX(0,J366-B366),MAX(0,TODAY()-B366)))</f>
        <v/>
      </c>
    </row>
    <row r="367">
      <c r="B367" s="5" t="n"/>
      <c r="J367" s="5" t="n"/>
      <c r="L367" s="6">
        <f>IF(B367="","",IF(J367&lt;&gt;"",MAX(0,J367-B367),MAX(0,TODAY()-B367)))</f>
        <v/>
      </c>
    </row>
    <row r="368">
      <c r="B368" s="5" t="n"/>
      <c r="J368" s="5" t="n"/>
      <c r="L368" s="6">
        <f>IF(B368="","",IF(J368&lt;&gt;"",MAX(0,J368-B368),MAX(0,TODAY()-B368)))</f>
        <v/>
      </c>
    </row>
    <row r="369">
      <c r="B369" s="5" t="n"/>
      <c r="J369" s="5" t="n"/>
      <c r="L369" s="6">
        <f>IF(B369="","",IF(J369&lt;&gt;"",MAX(0,J369-B369),MAX(0,TODAY()-B369)))</f>
        <v/>
      </c>
    </row>
    <row r="370">
      <c r="B370" s="5" t="n"/>
      <c r="J370" s="5" t="n"/>
      <c r="L370" s="6">
        <f>IF(B370="","",IF(J370&lt;&gt;"",MAX(0,J370-B370),MAX(0,TODAY()-B370)))</f>
        <v/>
      </c>
    </row>
    <row r="371">
      <c r="B371" s="5" t="n"/>
      <c r="J371" s="5" t="n"/>
      <c r="L371" s="6">
        <f>IF(B371="","",IF(J371&lt;&gt;"",MAX(0,J371-B371),MAX(0,TODAY()-B371)))</f>
        <v/>
      </c>
    </row>
    <row r="372">
      <c r="B372" s="5" t="n"/>
      <c r="J372" s="5" t="n"/>
      <c r="L372" s="6">
        <f>IF(B372="","",IF(J372&lt;&gt;"",MAX(0,J372-B372),MAX(0,TODAY()-B372)))</f>
        <v/>
      </c>
    </row>
    <row r="373">
      <c r="B373" s="5" t="n"/>
      <c r="J373" s="5" t="n"/>
      <c r="L373" s="6">
        <f>IF(B373="","",IF(J373&lt;&gt;"",MAX(0,J373-B373),MAX(0,TODAY()-B373)))</f>
        <v/>
      </c>
    </row>
    <row r="374">
      <c r="B374" s="5" t="n"/>
      <c r="J374" s="5" t="n"/>
      <c r="L374" s="6">
        <f>IF(B374="","",IF(J374&lt;&gt;"",MAX(0,J374-B374),MAX(0,TODAY()-B374)))</f>
        <v/>
      </c>
    </row>
    <row r="375">
      <c r="B375" s="5" t="n"/>
      <c r="J375" s="5" t="n"/>
      <c r="L375" s="6">
        <f>IF(B375="","",IF(J375&lt;&gt;"",MAX(0,J375-B375),MAX(0,TODAY()-B375)))</f>
        <v/>
      </c>
    </row>
    <row r="376">
      <c r="B376" s="5" t="n"/>
      <c r="J376" s="5" t="n"/>
      <c r="L376" s="6">
        <f>IF(B376="","",IF(J376&lt;&gt;"",MAX(0,J376-B376),MAX(0,TODAY()-B376)))</f>
        <v/>
      </c>
    </row>
    <row r="377">
      <c r="B377" s="5" t="n"/>
      <c r="J377" s="5" t="n"/>
      <c r="L377" s="6">
        <f>IF(B377="","",IF(J377&lt;&gt;"",MAX(0,J377-B377),MAX(0,TODAY()-B377)))</f>
        <v/>
      </c>
    </row>
    <row r="378">
      <c r="B378" s="5" t="n"/>
      <c r="J378" s="5" t="n"/>
      <c r="L378" s="6">
        <f>IF(B378="","",IF(J378&lt;&gt;"",MAX(0,J378-B378),MAX(0,TODAY()-B378)))</f>
        <v/>
      </c>
    </row>
    <row r="379">
      <c r="B379" s="5" t="n"/>
      <c r="J379" s="5" t="n"/>
      <c r="L379" s="6">
        <f>IF(B379="","",IF(J379&lt;&gt;"",MAX(0,J379-B379),MAX(0,TODAY()-B379)))</f>
        <v/>
      </c>
    </row>
    <row r="380">
      <c r="B380" s="5" t="n"/>
      <c r="J380" s="5" t="n"/>
      <c r="L380" s="6">
        <f>IF(B380="","",IF(J380&lt;&gt;"",MAX(0,J380-B380),MAX(0,TODAY()-B380)))</f>
        <v/>
      </c>
    </row>
    <row r="381">
      <c r="B381" s="5" t="n"/>
      <c r="J381" s="5" t="n"/>
      <c r="L381" s="6">
        <f>IF(B381="","",IF(J381&lt;&gt;"",MAX(0,J381-B381),MAX(0,TODAY()-B381)))</f>
        <v/>
      </c>
    </row>
    <row r="382">
      <c r="B382" s="5" t="n"/>
      <c r="J382" s="5" t="n"/>
      <c r="L382" s="6">
        <f>IF(B382="","",IF(J382&lt;&gt;"",MAX(0,J382-B382),MAX(0,TODAY()-B382)))</f>
        <v/>
      </c>
    </row>
    <row r="383">
      <c r="B383" s="5" t="n"/>
      <c r="J383" s="5" t="n"/>
      <c r="L383" s="6">
        <f>IF(B383="","",IF(J383&lt;&gt;"",MAX(0,J383-B383),MAX(0,TODAY()-B383)))</f>
        <v/>
      </c>
    </row>
    <row r="384">
      <c r="B384" s="5" t="n"/>
      <c r="J384" s="5" t="n"/>
      <c r="L384" s="6">
        <f>IF(B384="","",IF(J384&lt;&gt;"",MAX(0,J384-B384),MAX(0,TODAY()-B384)))</f>
        <v/>
      </c>
    </row>
    <row r="385">
      <c r="B385" s="5" t="n"/>
      <c r="J385" s="5" t="n"/>
      <c r="L385" s="6">
        <f>IF(B385="","",IF(J385&lt;&gt;"",MAX(0,J385-B385),MAX(0,TODAY()-B385)))</f>
        <v/>
      </c>
    </row>
    <row r="386">
      <c r="B386" s="5" t="n"/>
      <c r="J386" s="5" t="n"/>
      <c r="L386" s="6">
        <f>IF(B386="","",IF(J386&lt;&gt;"",MAX(0,J386-B386),MAX(0,TODAY()-B386)))</f>
        <v/>
      </c>
    </row>
    <row r="387">
      <c r="B387" s="5" t="n"/>
      <c r="J387" s="5" t="n"/>
      <c r="L387" s="6">
        <f>IF(B387="","",IF(J387&lt;&gt;"",MAX(0,J387-B387),MAX(0,TODAY()-B387)))</f>
        <v/>
      </c>
    </row>
    <row r="388">
      <c r="B388" s="5" t="n"/>
      <c r="J388" s="5" t="n"/>
      <c r="L388" s="6">
        <f>IF(B388="","",IF(J388&lt;&gt;"",MAX(0,J388-B388),MAX(0,TODAY()-B388)))</f>
        <v/>
      </c>
    </row>
    <row r="389">
      <c r="B389" s="5" t="n"/>
      <c r="J389" s="5" t="n"/>
      <c r="L389" s="6">
        <f>IF(B389="","",IF(J389&lt;&gt;"",MAX(0,J389-B389),MAX(0,TODAY()-B389)))</f>
        <v/>
      </c>
    </row>
    <row r="390">
      <c r="B390" s="5" t="n"/>
      <c r="J390" s="5" t="n"/>
      <c r="L390" s="6">
        <f>IF(B390="","",IF(J390&lt;&gt;"",MAX(0,J390-B390),MAX(0,TODAY()-B390)))</f>
        <v/>
      </c>
    </row>
    <row r="391">
      <c r="B391" s="5" t="n"/>
      <c r="J391" s="5" t="n"/>
      <c r="L391" s="6">
        <f>IF(B391="","",IF(J391&lt;&gt;"",MAX(0,J391-B391),MAX(0,TODAY()-B391)))</f>
        <v/>
      </c>
    </row>
    <row r="392">
      <c r="B392" s="5" t="n"/>
      <c r="J392" s="5" t="n"/>
      <c r="L392" s="6">
        <f>IF(B392="","",IF(J392&lt;&gt;"",MAX(0,J392-B392),MAX(0,TODAY()-B392)))</f>
        <v/>
      </c>
    </row>
    <row r="393">
      <c r="B393" s="5" t="n"/>
      <c r="J393" s="5" t="n"/>
      <c r="L393" s="6">
        <f>IF(B393="","",IF(J393&lt;&gt;"",MAX(0,J393-B393),MAX(0,TODAY()-B393)))</f>
        <v/>
      </c>
    </row>
    <row r="394">
      <c r="B394" s="5" t="n"/>
      <c r="J394" s="5" t="n"/>
      <c r="L394" s="6">
        <f>IF(B394="","",IF(J394&lt;&gt;"",MAX(0,J394-B394),MAX(0,TODAY()-B394)))</f>
        <v/>
      </c>
    </row>
    <row r="395">
      <c r="B395" s="5" t="n"/>
      <c r="J395" s="5" t="n"/>
      <c r="L395" s="6">
        <f>IF(B395="","",IF(J395&lt;&gt;"",MAX(0,J395-B395),MAX(0,TODAY()-B395)))</f>
        <v/>
      </c>
    </row>
    <row r="396">
      <c r="B396" s="5" t="n"/>
      <c r="J396" s="5" t="n"/>
      <c r="L396" s="6">
        <f>IF(B396="","",IF(J396&lt;&gt;"",MAX(0,J396-B396),MAX(0,TODAY()-B396)))</f>
        <v/>
      </c>
    </row>
    <row r="397">
      <c r="B397" s="5" t="n"/>
      <c r="J397" s="5" t="n"/>
      <c r="L397" s="6">
        <f>IF(B397="","",IF(J397&lt;&gt;"",MAX(0,J397-B397),MAX(0,TODAY()-B397)))</f>
        <v/>
      </c>
    </row>
    <row r="398">
      <c r="B398" s="5" t="n"/>
      <c r="J398" s="5" t="n"/>
      <c r="L398" s="6">
        <f>IF(B398="","",IF(J398&lt;&gt;"",MAX(0,J398-B398),MAX(0,TODAY()-B398)))</f>
        <v/>
      </c>
    </row>
    <row r="399">
      <c r="B399" s="5" t="n"/>
      <c r="J399" s="5" t="n"/>
      <c r="L399" s="6">
        <f>IF(B399="","",IF(J399&lt;&gt;"",MAX(0,J399-B399),MAX(0,TODAY()-B399)))</f>
        <v/>
      </c>
    </row>
    <row r="400">
      <c r="B400" s="5" t="n"/>
      <c r="J400" s="5" t="n"/>
      <c r="L400" s="6">
        <f>IF(B400="","",IF(J400&lt;&gt;"",MAX(0,J400-B400),MAX(0,TODAY()-B400)))</f>
        <v/>
      </c>
    </row>
    <row r="401">
      <c r="B401" s="5" t="n"/>
      <c r="J401" s="5" t="n"/>
      <c r="L401" s="6">
        <f>IF(B401="","",IF(J401&lt;&gt;"",MAX(0,J401-B401),MAX(0,TODAY()-B401)))</f>
        <v/>
      </c>
    </row>
    <row r="402">
      <c r="B402" s="5" t="n"/>
      <c r="J402" s="5" t="n"/>
      <c r="L402" s="6">
        <f>IF(B402="","",IF(J402&lt;&gt;"",MAX(0,J402-B402),MAX(0,TODAY()-B402)))</f>
        <v/>
      </c>
    </row>
    <row r="403">
      <c r="B403" s="5" t="n"/>
      <c r="J403" s="5" t="n"/>
      <c r="L403" s="6">
        <f>IF(B403="","",IF(J403&lt;&gt;"",MAX(0,J403-B403),MAX(0,TODAY()-B403)))</f>
        <v/>
      </c>
    </row>
    <row r="404">
      <c r="B404" s="5" t="n"/>
      <c r="J404" s="5" t="n"/>
      <c r="L404" s="6">
        <f>IF(B404="","",IF(J404&lt;&gt;"",MAX(0,J404-B404),MAX(0,TODAY()-B404)))</f>
        <v/>
      </c>
    </row>
    <row r="405">
      <c r="B405" s="5" t="n"/>
      <c r="J405" s="5" t="n"/>
      <c r="L405" s="6">
        <f>IF(B405="","",IF(J405&lt;&gt;"",MAX(0,J405-B405),MAX(0,TODAY()-B405)))</f>
        <v/>
      </c>
    </row>
    <row r="406">
      <c r="B406" s="5" t="n"/>
      <c r="J406" s="5" t="n"/>
      <c r="L406" s="6">
        <f>IF(B406="","",IF(J406&lt;&gt;"",MAX(0,J406-B406),MAX(0,TODAY()-B406)))</f>
        <v/>
      </c>
    </row>
    <row r="407">
      <c r="B407" s="5" t="n"/>
      <c r="J407" s="5" t="n"/>
      <c r="L407" s="6">
        <f>IF(B407="","",IF(J407&lt;&gt;"",MAX(0,J407-B407),MAX(0,TODAY()-B407)))</f>
        <v/>
      </c>
    </row>
    <row r="408">
      <c r="B408" s="5" t="n"/>
      <c r="J408" s="5" t="n"/>
      <c r="L408" s="6">
        <f>IF(B408="","",IF(J408&lt;&gt;"",MAX(0,J408-B408),MAX(0,TODAY()-B408)))</f>
        <v/>
      </c>
    </row>
    <row r="409">
      <c r="B409" s="5" t="n"/>
      <c r="J409" s="5" t="n"/>
      <c r="L409" s="6">
        <f>IF(B409="","",IF(J409&lt;&gt;"",MAX(0,J409-B409),MAX(0,TODAY()-B409)))</f>
        <v/>
      </c>
    </row>
    <row r="410">
      <c r="B410" s="5" t="n"/>
      <c r="J410" s="5" t="n"/>
      <c r="L410" s="6">
        <f>IF(B410="","",IF(J410&lt;&gt;"",MAX(0,J410-B410),MAX(0,TODAY()-B410)))</f>
        <v/>
      </c>
    </row>
    <row r="411">
      <c r="B411" s="5" t="n"/>
      <c r="J411" s="5" t="n"/>
      <c r="L411" s="6">
        <f>IF(B411="","",IF(J411&lt;&gt;"",MAX(0,J411-B411),MAX(0,TODAY()-B411)))</f>
        <v/>
      </c>
    </row>
    <row r="412">
      <c r="B412" s="5" t="n"/>
      <c r="J412" s="5" t="n"/>
      <c r="L412" s="6">
        <f>IF(B412="","",IF(J412&lt;&gt;"",MAX(0,J412-B412),MAX(0,TODAY()-B412)))</f>
        <v/>
      </c>
    </row>
    <row r="413">
      <c r="B413" s="5" t="n"/>
      <c r="J413" s="5" t="n"/>
      <c r="L413" s="6">
        <f>IF(B413="","",IF(J413&lt;&gt;"",MAX(0,J413-B413),MAX(0,TODAY()-B413)))</f>
        <v/>
      </c>
    </row>
    <row r="414">
      <c r="B414" s="5" t="n"/>
      <c r="J414" s="5" t="n"/>
      <c r="L414" s="6">
        <f>IF(B414="","",IF(J414&lt;&gt;"",MAX(0,J414-B414),MAX(0,TODAY()-B414)))</f>
        <v/>
      </c>
    </row>
    <row r="415">
      <c r="B415" s="5" t="n"/>
      <c r="J415" s="5" t="n"/>
      <c r="L415" s="6">
        <f>IF(B415="","",IF(J415&lt;&gt;"",MAX(0,J415-B415),MAX(0,TODAY()-B415)))</f>
        <v/>
      </c>
    </row>
    <row r="416">
      <c r="B416" s="5" t="n"/>
      <c r="J416" s="5" t="n"/>
      <c r="L416" s="6">
        <f>IF(B416="","",IF(J416&lt;&gt;"",MAX(0,J416-B416),MAX(0,TODAY()-B416)))</f>
        <v/>
      </c>
    </row>
    <row r="417">
      <c r="B417" s="5" t="n"/>
      <c r="J417" s="5" t="n"/>
      <c r="L417" s="6">
        <f>IF(B417="","",IF(J417&lt;&gt;"",MAX(0,J417-B417),MAX(0,TODAY()-B417)))</f>
        <v/>
      </c>
    </row>
    <row r="418">
      <c r="B418" s="5" t="n"/>
      <c r="J418" s="5" t="n"/>
      <c r="L418" s="6">
        <f>IF(B418="","",IF(J418&lt;&gt;"",MAX(0,J418-B418),MAX(0,TODAY()-B418)))</f>
        <v/>
      </c>
    </row>
    <row r="419">
      <c r="B419" s="5" t="n"/>
      <c r="J419" s="5" t="n"/>
      <c r="L419" s="6">
        <f>IF(B419="","",IF(J419&lt;&gt;"",MAX(0,J419-B419),MAX(0,TODAY()-B419)))</f>
        <v/>
      </c>
    </row>
    <row r="420">
      <c r="B420" s="5" t="n"/>
      <c r="J420" s="5" t="n"/>
      <c r="L420" s="6">
        <f>IF(B420="","",IF(J420&lt;&gt;"",MAX(0,J420-B420),MAX(0,TODAY()-B420)))</f>
        <v/>
      </c>
    </row>
    <row r="421">
      <c r="B421" s="5" t="n"/>
      <c r="J421" s="5" t="n"/>
      <c r="L421" s="6">
        <f>IF(B421="","",IF(J421&lt;&gt;"",MAX(0,J421-B421),MAX(0,TODAY()-B421)))</f>
        <v/>
      </c>
    </row>
    <row r="422">
      <c r="B422" s="5" t="n"/>
      <c r="J422" s="5" t="n"/>
      <c r="L422" s="6">
        <f>IF(B422="","",IF(J422&lt;&gt;"",MAX(0,J422-B422),MAX(0,TODAY()-B422)))</f>
        <v/>
      </c>
    </row>
    <row r="423">
      <c r="B423" s="5" t="n"/>
      <c r="J423" s="5" t="n"/>
      <c r="L423" s="6">
        <f>IF(B423="","",IF(J423&lt;&gt;"",MAX(0,J423-B423),MAX(0,TODAY()-B423)))</f>
        <v/>
      </c>
    </row>
    <row r="424">
      <c r="B424" s="5" t="n"/>
      <c r="J424" s="5" t="n"/>
      <c r="L424" s="6">
        <f>IF(B424="","",IF(J424&lt;&gt;"",MAX(0,J424-B424),MAX(0,TODAY()-B424)))</f>
        <v/>
      </c>
    </row>
    <row r="425">
      <c r="B425" s="5" t="n"/>
      <c r="J425" s="5" t="n"/>
      <c r="L425" s="6">
        <f>IF(B425="","",IF(J425&lt;&gt;"",MAX(0,J425-B425),MAX(0,TODAY()-B425)))</f>
        <v/>
      </c>
    </row>
    <row r="426">
      <c r="B426" s="5" t="n"/>
      <c r="J426" s="5" t="n"/>
      <c r="L426" s="6">
        <f>IF(B426="","",IF(J426&lt;&gt;"",MAX(0,J426-B426),MAX(0,TODAY()-B426)))</f>
        <v/>
      </c>
    </row>
    <row r="427">
      <c r="B427" s="5" t="n"/>
      <c r="J427" s="5" t="n"/>
      <c r="L427" s="6">
        <f>IF(B427="","",IF(J427&lt;&gt;"",MAX(0,J427-B427),MAX(0,TODAY()-B427)))</f>
        <v/>
      </c>
    </row>
    <row r="428">
      <c r="B428" s="5" t="n"/>
      <c r="J428" s="5" t="n"/>
      <c r="L428" s="6">
        <f>IF(B428="","",IF(J428&lt;&gt;"",MAX(0,J428-B428),MAX(0,TODAY()-B428)))</f>
        <v/>
      </c>
    </row>
    <row r="429">
      <c r="B429" s="5" t="n"/>
      <c r="J429" s="5" t="n"/>
      <c r="L429" s="6">
        <f>IF(B429="","",IF(J429&lt;&gt;"",MAX(0,J429-B429),MAX(0,TODAY()-B429)))</f>
        <v/>
      </c>
    </row>
    <row r="430">
      <c r="B430" s="5" t="n"/>
      <c r="J430" s="5" t="n"/>
      <c r="L430" s="6">
        <f>IF(B430="","",IF(J430&lt;&gt;"",MAX(0,J430-B430),MAX(0,TODAY()-B430)))</f>
        <v/>
      </c>
    </row>
    <row r="431">
      <c r="B431" s="5" t="n"/>
      <c r="J431" s="5" t="n"/>
      <c r="L431" s="6">
        <f>IF(B431="","",IF(J431&lt;&gt;"",MAX(0,J431-B431),MAX(0,TODAY()-B431)))</f>
        <v/>
      </c>
    </row>
    <row r="432">
      <c r="B432" s="5" t="n"/>
      <c r="J432" s="5" t="n"/>
      <c r="L432" s="6">
        <f>IF(B432="","",IF(J432&lt;&gt;"",MAX(0,J432-B432),MAX(0,TODAY()-B432)))</f>
        <v/>
      </c>
    </row>
    <row r="433">
      <c r="B433" s="5" t="n"/>
      <c r="J433" s="5" t="n"/>
      <c r="L433" s="6">
        <f>IF(B433="","",IF(J433&lt;&gt;"",MAX(0,J433-B433),MAX(0,TODAY()-B433)))</f>
        <v/>
      </c>
    </row>
    <row r="434">
      <c r="B434" s="5" t="n"/>
      <c r="J434" s="5" t="n"/>
      <c r="L434" s="6">
        <f>IF(B434="","",IF(J434&lt;&gt;"",MAX(0,J434-B434),MAX(0,TODAY()-B434)))</f>
        <v/>
      </c>
    </row>
    <row r="435">
      <c r="B435" s="5" t="n"/>
      <c r="J435" s="5" t="n"/>
      <c r="L435" s="6">
        <f>IF(B435="","",IF(J435&lt;&gt;"",MAX(0,J435-B435),MAX(0,TODAY()-B435)))</f>
        <v/>
      </c>
    </row>
    <row r="436">
      <c r="B436" s="5" t="n"/>
      <c r="J436" s="5" t="n"/>
      <c r="L436" s="6">
        <f>IF(B436="","",IF(J436&lt;&gt;"",MAX(0,J436-B436),MAX(0,TODAY()-B436)))</f>
        <v/>
      </c>
    </row>
    <row r="437">
      <c r="B437" s="5" t="n"/>
      <c r="J437" s="5" t="n"/>
      <c r="L437" s="6">
        <f>IF(B437="","",IF(J437&lt;&gt;"",MAX(0,J437-B437),MAX(0,TODAY()-B437)))</f>
        <v/>
      </c>
    </row>
    <row r="438">
      <c r="B438" s="5" t="n"/>
      <c r="J438" s="5" t="n"/>
      <c r="L438" s="6">
        <f>IF(B438="","",IF(J438&lt;&gt;"",MAX(0,J438-B438),MAX(0,TODAY()-B438)))</f>
        <v/>
      </c>
    </row>
    <row r="439">
      <c r="B439" s="5" t="n"/>
      <c r="J439" s="5" t="n"/>
      <c r="L439" s="6">
        <f>IF(B439="","",IF(J439&lt;&gt;"",MAX(0,J439-B439),MAX(0,TODAY()-B439)))</f>
        <v/>
      </c>
    </row>
    <row r="440">
      <c r="B440" s="5" t="n"/>
      <c r="J440" s="5" t="n"/>
      <c r="L440" s="6">
        <f>IF(B440="","",IF(J440&lt;&gt;"",MAX(0,J440-B440),MAX(0,TODAY()-B440)))</f>
        <v/>
      </c>
    </row>
    <row r="441">
      <c r="B441" s="5" t="n"/>
      <c r="J441" s="5" t="n"/>
      <c r="L441" s="6">
        <f>IF(B441="","",IF(J441&lt;&gt;"",MAX(0,J441-B441),MAX(0,TODAY()-B441)))</f>
        <v/>
      </c>
    </row>
    <row r="442">
      <c r="B442" s="5" t="n"/>
      <c r="J442" s="5" t="n"/>
      <c r="L442" s="6">
        <f>IF(B442="","",IF(J442&lt;&gt;"",MAX(0,J442-B442),MAX(0,TODAY()-B442)))</f>
        <v/>
      </c>
    </row>
    <row r="443">
      <c r="B443" s="5" t="n"/>
      <c r="J443" s="5" t="n"/>
      <c r="L443" s="6">
        <f>IF(B443="","",IF(J443&lt;&gt;"",MAX(0,J443-B443),MAX(0,TODAY()-B443)))</f>
        <v/>
      </c>
    </row>
    <row r="444">
      <c r="B444" s="5" t="n"/>
      <c r="J444" s="5" t="n"/>
      <c r="L444" s="6">
        <f>IF(B444="","",IF(J444&lt;&gt;"",MAX(0,J444-B444),MAX(0,TODAY()-B444)))</f>
        <v/>
      </c>
    </row>
    <row r="445">
      <c r="B445" s="5" t="n"/>
      <c r="J445" s="5" t="n"/>
      <c r="L445" s="6">
        <f>IF(B445="","",IF(J445&lt;&gt;"",MAX(0,J445-B445),MAX(0,TODAY()-B445)))</f>
        <v/>
      </c>
    </row>
    <row r="446">
      <c r="B446" s="5" t="n"/>
      <c r="J446" s="5" t="n"/>
      <c r="L446" s="6">
        <f>IF(B446="","",IF(J446&lt;&gt;"",MAX(0,J446-B446),MAX(0,TODAY()-B446)))</f>
        <v/>
      </c>
    </row>
    <row r="447">
      <c r="B447" s="5" t="n"/>
      <c r="J447" s="5" t="n"/>
      <c r="L447" s="6">
        <f>IF(B447="","",IF(J447&lt;&gt;"",MAX(0,J447-B447),MAX(0,TODAY()-B447)))</f>
        <v/>
      </c>
    </row>
    <row r="448">
      <c r="B448" s="5" t="n"/>
      <c r="J448" s="5" t="n"/>
      <c r="L448" s="6">
        <f>IF(B448="","",IF(J448&lt;&gt;"",MAX(0,J448-B448),MAX(0,TODAY()-B448)))</f>
        <v/>
      </c>
    </row>
    <row r="449">
      <c r="B449" s="5" t="n"/>
      <c r="J449" s="5" t="n"/>
      <c r="L449" s="6">
        <f>IF(B449="","",IF(J449&lt;&gt;"",MAX(0,J449-B449),MAX(0,TODAY()-B449)))</f>
        <v/>
      </c>
    </row>
    <row r="450">
      <c r="B450" s="5" t="n"/>
      <c r="J450" s="5" t="n"/>
      <c r="L450" s="6">
        <f>IF(B450="","",IF(J450&lt;&gt;"",MAX(0,J450-B450),MAX(0,TODAY()-B450)))</f>
        <v/>
      </c>
    </row>
    <row r="451">
      <c r="B451" s="5" t="n"/>
      <c r="J451" s="5" t="n"/>
      <c r="L451" s="6">
        <f>IF(B451="","",IF(J451&lt;&gt;"",MAX(0,J451-B451),MAX(0,TODAY()-B451)))</f>
        <v/>
      </c>
    </row>
    <row r="452">
      <c r="B452" s="5" t="n"/>
      <c r="J452" s="5" t="n"/>
      <c r="L452" s="6">
        <f>IF(B452="","",IF(J452&lt;&gt;"",MAX(0,J452-B452),MAX(0,TODAY()-B452)))</f>
        <v/>
      </c>
    </row>
    <row r="453">
      <c r="B453" s="5" t="n"/>
      <c r="J453" s="5" t="n"/>
      <c r="L453" s="6">
        <f>IF(B453="","",IF(J453&lt;&gt;"",MAX(0,J453-B453),MAX(0,TODAY()-B453)))</f>
        <v/>
      </c>
    </row>
    <row r="454">
      <c r="B454" s="5" t="n"/>
      <c r="J454" s="5" t="n"/>
      <c r="L454" s="6">
        <f>IF(B454="","",IF(J454&lt;&gt;"",MAX(0,J454-B454),MAX(0,TODAY()-B454)))</f>
        <v/>
      </c>
    </row>
    <row r="455">
      <c r="B455" s="5" t="n"/>
      <c r="J455" s="5" t="n"/>
      <c r="L455" s="6">
        <f>IF(B455="","",IF(J455&lt;&gt;"",MAX(0,J455-B455),MAX(0,TODAY()-B455)))</f>
        <v/>
      </c>
    </row>
    <row r="456">
      <c r="B456" s="5" t="n"/>
      <c r="J456" s="5" t="n"/>
      <c r="L456" s="6">
        <f>IF(B456="","",IF(J456&lt;&gt;"",MAX(0,J456-B456),MAX(0,TODAY()-B456)))</f>
        <v/>
      </c>
    </row>
    <row r="457">
      <c r="B457" s="5" t="n"/>
      <c r="J457" s="5" t="n"/>
      <c r="L457" s="6">
        <f>IF(B457="","",IF(J457&lt;&gt;"",MAX(0,J457-B457),MAX(0,TODAY()-B457)))</f>
        <v/>
      </c>
    </row>
    <row r="458">
      <c r="B458" s="5" t="n"/>
      <c r="J458" s="5" t="n"/>
      <c r="L458" s="6">
        <f>IF(B458="","",IF(J458&lt;&gt;"",MAX(0,J458-B458),MAX(0,TODAY()-B458)))</f>
        <v/>
      </c>
    </row>
    <row r="459">
      <c r="B459" s="5" t="n"/>
      <c r="J459" s="5" t="n"/>
      <c r="L459" s="6">
        <f>IF(B459="","",IF(J459&lt;&gt;"",MAX(0,J459-B459),MAX(0,TODAY()-B459)))</f>
        <v/>
      </c>
    </row>
    <row r="460">
      <c r="B460" s="5" t="n"/>
      <c r="J460" s="5" t="n"/>
      <c r="L460" s="6">
        <f>IF(B460="","",IF(J460&lt;&gt;"",MAX(0,J460-B460),MAX(0,TODAY()-B460)))</f>
        <v/>
      </c>
    </row>
    <row r="461">
      <c r="B461" s="5" t="n"/>
      <c r="J461" s="5" t="n"/>
      <c r="L461" s="6">
        <f>IF(B461="","",IF(J461&lt;&gt;"",MAX(0,J461-B461),MAX(0,TODAY()-B461)))</f>
        <v/>
      </c>
    </row>
    <row r="462">
      <c r="B462" s="5" t="n"/>
      <c r="J462" s="5" t="n"/>
      <c r="L462" s="6">
        <f>IF(B462="","",IF(J462&lt;&gt;"",MAX(0,J462-B462),MAX(0,TODAY()-B462)))</f>
        <v/>
      </c>
    </row>
    <row r="463">
      <c r="B463" s="5" t="n"/>
      <c r="J463" s="5" t="n"/>
      <c r="L463" s="6">
        <f>IF(B463="","",IF(J463&lt;&gt;"",MAX(0,J463-B463),MAX(0,TODAY()-B463)))</f>
        <v/>
      </c>
    </row>
    <row r="464">
      <c r="B464" s="5" t="n"/>
      <c r="J464" s="5" t="n"/>
      <c r="L464" s="6">
        <f>IF(B464="","",IF(J464&lt;&gt;"",MAX(0,J464-B464),MAX(0,TODAY()-B464)))</f>
        <v/>
      </c>
    </row>
    <row r="465">
      <c r="B465" s="5" t="n"/>
      <c r="J465" s="5" t="n"/>
      <c r="L465" s="6">
        <f>IF(B465="","",IF(J465&lt;&gt;"",MAX(0,J465-B465),MAX(0,TODAY()-B465)))</f>
        <v/>
      </c>
    </row>
    <row r="466">
      <c r="B466" s="5" t="n"/>
      <c r="J466" s="5" t="n"/>
      <c r="L466" s="6">
        <f>IF(B466="","",IF(J466&lt;&gt;"",MAX(0,J466-B466),MAX(0,TODAY()-B466)))</f>
        <v/>
      </c>
    </row>
    <row r="467">
      <c r="B467" s="5" t="n"/>
      <c r="J467" s="5" t="n"/>
      <c r="L467" s="6">
        <f>IF(B467="","",IF(J467&lt;&gt;"",MAX(0,J467-B467),MAX(0,TODAY()-B467)))</f>
        <v/>
      </c>
    </row>
    <row r="468">
      <c r="B468" s="5" t="n"/>
      <c r="J468" s="5" t="n"/>
      <c r="L468" s="6">
        <f>IF(B468="","",IF(J468&lt;&gt;"",MAX(0,J468-B468),MAX(0,TODAY()-B468)))</f>
        <v/>
      </c>
    </row>
    <row r="469">
      <c r="B469" s="5" t="n"/>
      <c r="J469" s="5" t="n"/>
      <c r="L469" s="6">
        <f>IF(B469="","",IF(J469&lt;&gt;"",MAX(0,J469-B469),MAX(0,TODAY()-B469)))</f>
        <v/>
      </c>
    </row>
    <row r="470">
      <c r="B470" s="5" t="n"/>
      <c r="J470" s="5" t="n"/>
      <c r="L470" s="6">
        <f>IF(B470="","",IF(J470&lt;&gt;"",MAX(0,J470-B470),MAX(0,TODAY()-B470)))</f>
        <v/>
      </c>
    </row>
    <row r="471">
      <c r="B471" s="5" t="n"/>
      <c r="J471" s="5" t="n"/>
      <c r="L471" s="6">
        <f>IF(B471="","",IF(J471&lt;&gt;"",MAX(0,J471-B471),MAX(0,TODAY()-B471)))</f>
        <v/>
      </c>
    </row>
    <row r="472">
      <c r="B472" s="5" t="n"/>
      <c r="J472" s="5" t="n"/>
      <c r="L472" s="6">
        <f>IF(B472="","",IF(J472&lt;&gt;"",MAX(0,J472-B472),MAX(0,TODAY()-B472)))</f>
        <v/>
      </c>
    </row>
    <row r="473">
      <c r="B473" s="5" t="n"/>
      <c r="J473" s="5" t="n"/>
      <c r="L473" s="6">
        <f>IF(B473="","",IF(J473&lt;&gt;"",MAX(0,J473-B473),MAX(0,TODAY()-B473)))</f>
        <v/>
      </c>
    </row>
    <row r="474">
      <c r="B474" s="5" t="n"/>
      <c r="J474" s="5" t="n"/>
      <c r="L474" s="6">
        <f>IF(B474="","",IF(J474&lt;&gt;"",MAX(0,J474-B474),MAX(0,TODAY()-B474)))</f>
        <v/>
      </c>
    </row>
    <row r="475">
      <c r="B475" s="5" t="n"/>
      <c r="J475" s="5" t="n"/>
      <c r="L475" s="6">
        <f>IF(B475="","",IF(J475&lt;&gt;"",MAX(0,J475-B475),MAX(0,TODAY()-B475)))</f>
        <v/>
      </c>
    </row>
    <row r="476">
      <c r="B476" s="5" t="n"/>
      <c r="J476" s="5" t="n"/>
      <c r="L476" s="6">
        <f>IF(B476="","",IF(J476&lt;&gt;"",MAX(0,J476-B476),MAX(0,TODAY()-B476)))</f>
        <v/>
      </c>
    </row>
    <row r="477">
      <c r="B477" s="5" t="n"/>
      <c r="J477" s="5" t="n"/>
      <c r="L477" s="6">
        <f>IF(B477="","",IF(J477&lt;&gt;"",MAX(0,J477-B477),MAX(0,TODAY()-B477)))</f>
        <v/>
      </c>
    </row>
    <row r="478">
      <c r="B478" s="5" t="n"/>
      <c r="J478" s="5" t="n"/>
      <c r="L478" s="6">
        <f>IF(B478="","",IF(J478&lt;&gt;"",MAX(0,J478-B478),MAX(0,TODAY()-B478)))</f>
        <v/>
      </c>
    </row>
    <row r="479">
      <c r="B479" s="5" t="n"/>
      <c r="J479" s="5" t="n"/>
      <c r="L479" s="6">
        <f>IF(B479="","",IF(J479&lt;&gt;"",MAX(0,J479-B479),MAX(0,TODAY()-B479)))</f>
        <v/>
      </c>
    </row>
    <row r="480">
      <c r="B480" s="5" t="n"/>
      <c r="J480" s="5" t="n"/>
      <c r="L480" s="6">
        <f>IF(B480="","",IF(J480&lt;&gt;"",MAX(0,J480-B480),MAX(0,TODAY()-B480)))</f>
        <v/>
      </c>
    </row>
    <row r="481">
      <c r="B481" s="5" t="n"/>
      <c r="J481" s="5" t="n"/>
      <c r="L481" s="6">
        <f>IF(B481="","",IF(J481&lt;&gt;"",MAX(0,J481-B481),MAX(0,TODAY()-B481)))</f>
        <v/>
      </c>
    </row>
    <row r="482">
      <c r="B482" s="5" t="n"/>
      <c r="J482" s="5" t="n"/>
      <c r="L482" s="6">
        <f>IF(B482="","",IF(J482&lt;&gt;"",MAX(0,J482-B482),MAX(0,TODAY()-B482)))</f>
        <v/>
      </c>
    </row>
    <row r="483">
      <c r="B483" s="5" t="n"/>
      <c r="J483" s="5" t="n"/>
      <c r="L483" s="6">
        <f>IF(B483="","",IF(J483&lt;&gt;"",MAX(0,J483-B483),MAX(0,TODAY()-B483)))</f>
        <v/>
      </c>
    </row>
    <row r="484">
      <c r="B484" s="5" t="n"/>
      <c r="J484" s="5" t="n"/>
      <c r="L484" s="6">
        <f>IF(B484="","",IF(J484&lt;&gt;"",MAX(0,J484-B484),MAX(0,TODAY()-B484)))</f>
        <v/>
      </c>
    </row>
    <row r="485">
      <c r="B485" s="5" t="n"/>
      <c r="J485" s="5" t="n"/>
      <c r="L485" s="6">
        <f>IF(B485="","",IF(J485&lt;&gt;"",MAX(0,J485-B485),MAX(0,TODAY()-B485)))</f>
        <v/>
      </c>
    </row>
    <row r="486">
      <c r="B486" s="5" t="n"/>
      <c r="J486" s="5" t="n"/>
      <c r="L486" s="6">
        <f>IF(B486="","",IF(J486&lt;&gt;"",MAX(0,J486-B486),MAX(0,TODAY()-B486)))</f>
        <v/>
      </c>
    </row>
    <row r="487">
      <c r="B487" s="5" t="n"/>
      <c r="J487" s="5" t="n"/>
      <c r="L487" s="6">
        <f>IF(B487="","",IF(J487&lt;&gt;"",MAX(0,J487-B487),MAX(0,TODAY()-B487)))</f>
        <v/>
      </c>
    </row>
    <row r="488">
      <c r="B488" s="5" t="n"/>
      <c r="J488" s="5" t="n"/>
      <c r="L488" s="6">
        <f>IF(B488="","",IF(J488&lt;&gt;"",MAX(0,J488-B488),MAX(0,TODAY()-B488)))</f>
        <v/>
      </c>
    </row>
    <row r="489">
      <c r="B489" s="5" t="n"/>
      <c r="J489" s="5" t="n"/>
      <c r="L489" s="6">
        <f>IF(B489="","",IF(J489&lt;&gt;"",MAX(0,J489-B489),MAX(0,TODAY()-B489)))</f>
        <v/>
      </c>
    </row>
    <row r="490">
      <c r="B490" s="5" t="n"/>
      <c r="J490" s="5" t="n"/>
      <c r="L490" s="6">
        <f>IF(B490="","",IF(J490&lt;&gt;"",MAX(0,J490-B490),MAX(0,TODAY()-B490)))</f>
        <v/>
      </c>
    </row>
    <row r="491">
      <c r="B491" s="5" t="n"/>
      <c r="J491" s="5" t="n"/>
      <c r="L491" s="6">
        <f>IF(B491="","",IF(J491&lt;&gt;"",MAX(0,J491-B491),MAX(0,TODAY()-B491)))</f>
        <v/>
      </c>
    </row>
    <row r="492">
      <c r="B492" s="5" t="n"/>
      <c r="J492" s="5" t="n"/>
      <c r="L492" s="6">
        <f>IF(B492="","",IF(J492&lt;&gt;"",MAX(0,J492-B492),MAX(0,TODAY()-B492)))</f>
        <v/>
      </c>
    </row>
    <row r="493">
      <c r="B493" s="5" t="n"/>
      <c r="J493" s="5" t="n"/>
      <c r="L493" s="6">
        <f>IF(B493="","",IF(J493&lt;&gt;"",MAX(0,J493-B493),MAX(0,TODAY()-B493)))</f>
        <v/>
      </c>
    </row>
    <row r="494">
      <c r="B494" s="5" t="n"/>
      <c r="J494" s="5" t="n"/>
      <c r="L494" s="6">
        <f>IF(B494="","",IF(J494&lt;&gt;"",MAX(0,J494-B494),MAX(0,TODAY()-B494)))</f>
        <v/>
      </c>
    </row>
    <row r="495">
      <c r="B495" s="5" t="n"/>
      <c r="J495" s="5" t="n"/>
      <c r="L495" s="6">
        <f>IF(B495="","",IF(J495&lt;&gt;"",MAX(0,J495-B495),MAX(0,TODAY()-B495)))</f>
        <v/>
      </c>
    </row>
    <row r="496">
      <c r="B496" s="5" t="n"/>
      <c r="J496" s="5" t="n"/>
      <c r="L496" s="6">
        <f>IF(B496="","",IF(J496&lt;&gt;"",MAX(0,J496-B496),MAX(0,TODAY()-B496)))</f>
        <v/>
      </c>
    </row>
    <row r="497">
      <c r="B497" s="5" t="n"/>
      <c r="J497" s="5" t="n"/>
      <c r="L497" s="6">
        <f>IF(B497="","",IF(J497&lt;&gt;"",MAX(0,J497-B497),MAX(0,TODAY()-B497)))</f>
        <v/>
      </c>
    </row>
    <row r="498">
      <c r="B498" s="5" t="n"/>
      <c r="J498" s="5" t="n"/>
      <c r="L498" s="6">
        <f>IF(B498="","",IF(J498&lt;&gt;"",MAX(0,J498-B498),MAX(0,TODAY()-B498)))</f>
        <v/>
      </c>
    </row>
    <row r="499">
      <c r="B499" s="5" t="n"/>
      <c r="J499" s="5" t="n"/>
      <c r="L499" s="6">
        <f>IF(B499="","",IF(J499&lt;&gt;"",MAX(0,J499-B499),MAX(0,TODAY()-B499)))</f>
        <v/>
      </c>
    </row>
    <row r="500">
      <c r="B500" s="5" t="n"/>
      <c r="J500" s="5" t="n"/>
      <c r="L500" s="6">
        <f>IF(B500="","",IF(J500&lt;&gt;"",MAX(0,J500-B500),MAX(0,TODAY()-B500)))</f>
        <v/>
      </c>
    </row>
    <row r="501">
      <c r="B501" s="5" t="n"/>
      <c r="J501" s="5" t="n"/>
      <c r="L501" s="6">
        <f>IF(B501="","",IF(J501&lt;&gt;"",MAX(0,J501-B501),MAX(0,TODAY()-B501)))</f>
        <v/>
      </c>
    </row>
  </sheetData>
  <autoFilter ref="A1:L501"/>
  <conditionalFormatting sqref="I2:I501">
    <cfRule type="expression" priority="1" dxfId="0">
      <formula>$I2="Resuelto"</formula>
    </cfRule>
    <cfRule type="expression" priority="2" dxfId="1">
      <formula>$I2="Bloqueado"</formula>
    </cfRule>
  </conditionalFormatting>
  <conditionalFormatting sqref="G2:G501">
    <cfRule type="expression" priority="3" dxfId="2">
      <formula>OR($G2="Alta",$G2="Critica")</formula>
    </cfRule>
  </conditionalFormatting>
  <dataValidations count="4">
    <dataValidation sqref="E2:E501" showDropDown="0" showInputMessage="0" showErrorMessage="0" allowBlank="1" type="list">
      <formula1>"Técnico,Gestión,Dependencia externa,Recursos,Equipo,Requisito,Infraestructura"</formula1>
    </dataValidation>
    <dataValidation sqref="F2:F501" showDropDown="0" showInputMessage="0" showErrorMessage="0" allowBlank="1" type="list">
      <formula1>"Bajo,Medio,Alto,Critico"</formula1>
    </dataValidation>
    <dataValidation sqref="G2:G501" showDropDown="0" showInputMessage="0" showErrorMessage="0" allowBlank="1" type="list">
      <formula1>"Baja,Media,Alta,Critica"</formula1>
    </dataValidation>
    <dataValidation sqref="I2:I501" showDropDown="0" showInputMessage="0" showErrorMessage="0" allowBlank="1" type="list">
      <formula1>"Pendiente,En proceso,Bloqueado,Resuelto,Descartado"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IMPEDIMENT LOG — SMARTBIDS</t>
        </is>
      </c>
    </row>
    <row r="2">
      <c r="A2" s="8" t="inlineStr">
        <is>
          <t>Propósito</t>
        </is>
      </c>
      <c r="B2" s="9" t="inlineStr">
        <is>
          <t>Registrar, dar seguimiento y documentar los impedimentos que afectan el avance de los sprints Scrum.</t>
        </is>
      </c>
    </row>
    <row r="3">
      <c r="A3" s="8" t="inlineStr">
        <is>
          <t>Cuándo registrar</t>
        </is>
      </c>
      <c r="B3" s="9" t="inlineStr">
        <is>
          <t>Cada vez que aparezca un bloqueo o problema que impida, retrase o dificulte completar una tarea del sprint.</t>
        </is>
      </c>
    </row>
    <row r="4">
      <c r="A4" s="8" t="inlineStr">
        <is>
          <t>ID</t>
        </is>
      </c>
      <c r="B4" s="9" t="inlineStr">
        <is>
          <t>Usar formato IMP-001, IMP-002, etc.</t>
        </is>
      </c>
    </row>
    <row r="5">
      <c r="A5" s="8" t="inlineStr">
        <is>
          <t>Fecha</t>
        </is>
      </c>
      <c r="B5" s="9" t="inlineStr">
        <is>
          <t>Fecha en que se identifica el impedimento.</t>
        </is>
      </c>
    </row>
    <row r="6">
      <c r="A6" s="8" t="inlineStr">
        <is>
          <t>Sprint</t>
        </is>
      </c>
      <c r="B6" s="9" t="inlineStr">
        <is>
          <t>Sprint en el que se detecta.</t>
        </is>
      </c>
    </row>
    <row r="7">
      <c r="A7" s="8" t="inlineStr">
        <is>
          <t>Impedimento</t>
        </is>
      </c>
      <c r="B7" s="9" t="inlineStr">
        <is>
          <t>Describir el problema de forma concreta, indicando qué está bloqueando el trabajo.</t>
        </is>
      </c>
    </row>
    <row r="8">
      <c r="A8" s="8" t="inlineStr">
        <is>
          <t>Tipo</t>
        </is>
      </c>
      <c r="B8" s="9" t="inlineStr">
        <is>
          <t>Seleccionar una categoría de la lista desplegable.</t>
        </is>
      </c>
    </row>
    <row r="9">
      <c r="A9" s="8" t="inlineStr">
        <is>
          <t>Impacto</t>
        </is>
      </c>
      <c r="B9" s="9" t="inlineStr">
        <is>
          <t>Indicar cuánto afecta al avance: Bajo, Medio, Alto o Crítico.</t>
        </is>
      </c>
    </row>
    <row r="10">
      <c r="A10" s="8" t="inlineStr">
        <is>
          <t>Prioridad</t>
        </is>
      </c>
      <c r="B10" s="9" t="inlineStr">
        <is>
          <t>Indicar qué tan urgente es resolverlo.</t>
        </is>
      </c>
    </row>
    <row r="11">
      <c r="A11" s="8" t="inlineStr">
        <is>
          <t>Responsable</t>
        </is>
      </c>
      <c r="B11" s="9" t="inlineStr">
        <is>
          <t>Persona o equipo encargado de gestionar su resolución.</t>
        </is>
      </c>
    </row>
    <row r="12">
      <c r="A12" s="8" t="inlineStr">
        <is>
          <t>Estado</t>
        </is>
      </c>
      <c r="B12" s="9" t="inlineStr">
        <is>
          <t>Actualizar durante el seguimiento: Pendiente, En proceso, Bloqueado, Resuelto o Descartado.</t>
        </is>
      </c>
    </row>
    <row r="13">
      <c r="A13" s="8" t="inlineStr">
        <is>
          <t>Fecha resolución</t>
        </is>
      </c>
      <c r="B13" s="9" t="inlineStr">
        <is>
          <t>Completar cuando el impedimento haya sido solucionado.</t>
        </is>
      </c>
    </row>
    <row r="14">
      <c r="A14" s="8" t="inlineStr">
        <is>
          <t>Resolución / Acción tomada</t>
        </is>
      </c>
      <c r="B14" s="9" t="inlineStr">
        <is>
          <t>Registrar qué se hizo para resolverlo o mitigarlo.</t>
        </is>
      </c>
    </row>
    <row r="15">
      <c r="A15" s="8" t="inlineStr">
        <is>
          <t>Días bloqueado</t>
        </is>
      </c>
      <c r="B15" s="9" t="inlineStr">
        <is>
          <t>Se calcula automáticamente desde la fecha del impedimento hasta su resolución o hasta hoy.</t>
        </is>
      </c>
    </row>
    <row r="16">
      <c r="A16" s="8" t="inlineStr">
        <is>
          <t>Importante</t>
        </is>
      </c>
      <c r="B16" s="9" t="inlineStr">
        <is>
          <t>Las primeras filas contienen EJEMPLOS relacionados con SmartBids. Pueden reemplazarse o eliminarse.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7" t="inlineStr">
        <is>
          <t>RESUMEN DE IMPEDIMENTOS — SMARTBIDS</t>
        </is>
      </c>
    </row>
    <row r="3">
      <c r="A3" s="8" t="inlineStr">
        <is>
          <t>Total de impedimentos</t>
        </is>
      </c>
      <c r="B3" s="10">
        <f>COUNTIF('Impediment Log'!A2:A501,"IMP-*")</f>
        <v/>
      </c>
    </row>
    <row r="4">
      <c r="A4" s="8" t="inlineStr">
        <is>
          <t>Pendientes</t>
        </is>
      </c>
      <c r="B4" s="10">
        <f>COUNTIF('Impediment Log'!I2:I501,"Pendiente")</f>
        <v/>
      </c>
    </row>
    <row r="5">
      <c r="A5" s="8" t="inlineStr">
        <is>
          <t>En proceso</t>
        </is>
      </c>
      <c r="B5" s="10">
        <f>COUNTIF('Impediment Log'!I2:I501,"En proceso")</f>
        <v/>
      </c>
    </row>
    <row r="6">
      <c r="A6" s="8" t="inlineStr">
        <is>
          <t>Bloqueados</t>
        </is>
      </c>
      <c r="B6" s="10">
        <f>COUNTIF('Impediment Log'!I2:I501,"Bloqueado")</f>
        <v/>
      </c>
    </row>
    <row r="7">
      <c r="A7" s="8" t="inlineStr">
        <is>
          <t>Resueltos</t>
        </is>
      </c>
      <c r="B7" s="10">
        <f>COUNTIF('Impediment Log'!I2:I501,"Resuelto")</f>
        <v/>
      </c>
    </row>
    <row r="8">
      <c r="A8" s="8" t="inlineStr">
        <is>
          <t>Alta/Critica prioridad</t>
        </is>
      </c>
      <c r="B8" s="10">
        <f>COUNTIF('Impediment Log'!G2:G501,"Alta")+COUNTIF('Impediment Log'!G2:G501,"Critica")</f>
        <v/>
      </c>
    </row>
    <row r="9">
      <c r="A9" s="8" t="inlineStr">
        <is>
          <t>Días bloqueado promedio</t>
        </is>
      </c>
      <c r="B9" s="10">
        <f>IFERROR(AVERAGE('Impediment Log'!L2:L501),0)</f>
        <v/>
      </c>
    </row>
    <row r="12">
      <c r="A12" s="11" t="inlineStr">
        <is>
          <t>Tipo</t>
        </is>
      </c>
      <c r="B12" s="11" t="inlineStr">
        <is>
          <t>Cantidad</t>
        </is>
      </c>
    </row>
    <row r="13">
      <c r="A13" t="inlineStr">
        <is>
          <t>Técnico</t>
        </is>
      </c>
      <c r="B13">
        <f>COUNTIF('Impediment Log'!E2:E501,A13)</f>
        <v/>
      </c>
    </row>
    <row r="14">
      <c r="A14" t="inlineStr">
        <is>
          <t>Gestión</t>
        </is>
      </c>
      <c r="B14">
        <f>COUNTIF('Impediment Log'!E2:E501,A14)</f>
        <v/>
      </c>
    </row>
    <row r="15">
      <c r="A15" t="inlineStr">
        <is>
          <t>Dependencia externa</t>
        </is>
      </c>
      <c r="B15">
        <f>COUNTIF('Impediment Log'!E2:E501,A15)</f>
        <v/>
      </c>
    </row>
    <row r="16">
      <c r="A16" t="inlineStr">
        <is>
          <t>Recursos</t>
        </is>
      </c>
      <c r="B16">
        <f>COUNTIF('Impediment Log'!E2:E501,A16)</f>
        <v/>
      </c>
    </row>
    <row r="17">
      <c r="A17" t="inlineStr">
        <is>
          <t>Equipo</t>
        </is>
      </c>
      <c r="B17">
        <f>COUNTIF('Impediment Log'!E2:E501,A17)</f>
        <v/>
      </c>
    </row>
    <row r="18">
      <c r="A18" t="inlineStr">
        <is>
          <t>Requisito</t>
        </is>
      </c>
      <c r="B18">
        <f>COUNTIF('Impediment Log'!E2:E501,A18)</f>
        <v/>
      </c>
    </row>
    <row r="19">
      <c r="A19" t="inlineStr">
        <is>
          <t>Infraestructura</t>
        </is>
      </c>
      <c r="B19">
        <f>COUNTIF('Impediment Log'!E2:E501,A19)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2026-09-16T20:23:28Z</dcterms:created>
  <dcterms:modified xmlns:dcterms="http://purl.org/dc/terms/" xmlns:xsi="http://www.w3.org/2001/XMLSchema-instance" xsi:type="dcterms:W3CDTF">2026-09-16T20:23:28Z</dcterms:modified>
</cp:coreProperties>
</file>