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ndown Chart Sprint 1" sheetId="1" r:id="rId5"/>
  </sheets>
  <definedNames/>
  <calcPr/>
</workbook>
</file>

<file path=xl/sharedStrings.xml><?xml version="1.0" encoding="utf-8"?>
<sst xmlns="http://schemas.openxmlformats.org/spreadsheetml/2006/main" count="73" uniqueCount="44">
  <si>
    <t>ID</t>
  </si>
  <si>
    <t>Historia / Tarea</t>
  </si>
  <si>
    <t>Resp.</t>
  </si>
  <si>
    <t>SP</t>
  </si>
  <si>
    <t>HH</t>
  </si>
  <si>
    <t>Observaciones</t>
  </si>
  <si>
    <t>Término Planificado</t>
  </si>
  <si>
    <t>Término Real</t>
  </si>
  <si>
    <t xml:space="preserve">E02-H01 </t>
  </si>
  <si>
    <t>Autenticación y seguridad</t>
  </si>
  <si>
    <t>NM</t>
  </si>
  <si>
    <t>Se adelanta historia a pedido del cliente</t>
  </si>
  <si>
    <t>S3</t>
  </si>
  <si>
    <t>E10-H01</t>
  </si>
  <si>
    <t>Diseño e Implementación Base de Datos Operacional</t>
  </si>
  <si>
    <t>FO</t>
  </si>
  <si>
    <t>S1</t>
  </si>
  <si>
    <t>E01-H01</t>
  </si>
  <si>
    <t>Landing Page</t>
  </si>
  <si>
    <t>E01-H02</t>
  </si>
  <si>
    <t>Registro Prospecto</t>
  </si>
  <si>
    <t>E02-H02</t>
  </si>
  <si>
    <t>Interfaz de Usuario Base</t>
  </si>
  <si>
    <t>E07-H01</t>
  </si>
  <si>
    <t>Dataset Curado</t>
  </si>
  <si>
    <t>MG</t>
  </si>
  <si>
    <t>E10-H02</t>
  </si>
  <si>
    <t>Análisis Exploratorio de Datos (EDA)</t>
  </si>
  <si>
    <t>E10-H03</t>
  </si>
  <si>
    <t>Diseño e Implementación del Data Warehouse</t>
  </si>
  <si>
    <t>Se traslada a Sprint 2</t>
  </si>
  <si>
    <t>Pendiente</t>
  </si>
  <si>
    <t>E09-H02</t>
  </si>
  <si>
    <t>Pipeline ETL Inicial</t>
  </si>
  <si>
    <t>E09-H01</t>
  </si>
  <si>
    <t>Arquitectura Cloud</t>
  </si>
  <si>
    <t>Total</t>
  </si>
  <si>
    <t>Completados: 36 SP · Pendientes trasladados a sprint 2: 21 SP.</t>
  </si>
  <si>
    <t>Sprint 1 36 SP</t>
  </si>
  <si>
    <t>Sprint 1 Avance Real</t>
  </si>
  <si>
    <t>Periodo</t>
  </si>
  <si>
    <t>SP restantes</t>
  </si>
  <si>
    <t>SP completados acumulados</t>
  </si>
  <si>
    <t>Durante el Sprint se presentaron impedimentos técnicos relacionados con el hosting y el acceso a datos de órdenes de compra, lo que retrasó algunas historias. Además, se adelantó la historia de Autenticación y Seguridad a solicitud del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</si>
</sst>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7">
    <font>
      <sz val="10.0"/>
      <color rgb="FF000000"/>
      <name val="Arial"/>
      <scheme val="minor"/>
    </font>
    <font>
      <b/>
      <color theme="1"/>
      <name val="Roboto"/>
    </font>
    <font>
      <color rgb="FF434343"/>
      <name val="Roboto"/>
    </font>
    <font>
      <b/>
      <color rgb="FF434343"/>
      <name val="Roboto"/>
    </font>
    <font>
      <b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right" readingOrder="0" shrinkToFit="0" vertical="center" wrapText="0"/>
    </xf>
    <xf borderId="0" fillId="0" fontId="1" numFmtId="49" xfId="0" applyAlignment="1" applyFont="1" applyNumberFormat="1">
      <alignment horizontal="righ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0"/>
    </xf>
    <xf borderId="0" fillId="2" fontId="2" numFmtId="0" xfId="0" applyAlignment="1" applyFill="1" applyFont="1">
      <alignment horizontal="right" readingOrder="0" shrinkToFit="0" vertical="center" wrapText="1"/>
    </xf>
    <xf borderId="0" fillId="2" fontId="2" numFmtId="0" xfId="0" applyAlignment="1" applyFill="1" applyFont="1">
      <alignment horizontal="right" readingOrder="0" shrinkToFit="0" vertical="center" wrapText="0"/>
    </xf>
    <xf borderId="0" fillId="3" fontId="2" numFmtId="0" xfId="0" applyAlignment="1" applyFill="1" applyFont="1">
      <alignment shrinkToFit="0" vertical="center" wrapText="0"/>
    </xf>
    <xf borderId="0" fillId="3" fontId="2" numFmtId="0" xfId="0" applyAlignment="1" applyFill="1" applyFont="1">
      <alignment shrinkToFit="0" vertical="center" wrapText="1"/>
    </xf>
    <xf borderId="0" fillId="3" fontId="2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right" shrinkToFit="0" vertical="center" wrapText="0"/>
    </xf>
    <xf borderId="0" fillId="3" fontId="2" numFmtId="0" xfId="0" applyAlignment="1" applyFill="1" applyFont="1">
      <alignment horizontal="right" readingOrder="0" shrinkToFit="0" vertical="center" wrapText="0"/>
    </xf>
    <xf borderId="0" fillId="2" fontId="2" numFmtId="0" xfId="0" applyAlignment="1" applyFill="1" applyFont="1">
      <alignment shrinkToFit="0" vertical="center" wrapText="0"/>
    </xf>
    <xf borderId="0" fillId="2" fontId="2" numFmtId="0" xfId="0" applyAlignment="1" applyFill="1" applyFont="1">
      <alignment shrinkToFit="0" vertical="center" wrapText="1"/>
    </xf>
    <xf borderId="0" fillId="2" fontId="2" numFmtId="0" xfId="0" applyAlignment="1" applyFill="1" applyFont="1">
      <alignment horizontal="center" shrinkToFit="0" vertical="center" wrapText="0"/>
    </xf>
    <xf borderId="0" fillId="2" fontId="2" numFmtId="0" xfId="0" applyAlignment="1" applyFill="1" applyFont="1">
      <alignment horizontal="right" shrinkToFit="0" vertical="center" wrapText="0"/>
    </xf>
    <xf borderId="0" fillId="3" fontId="2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shrinkToFit="0" vertical="center" wrapText="1"/>
    </xf>
    <xf borderId="0" fillId="2" fontId="3" numFmtId="0" xfId="0" applyAlignment="1" applyFill="1" applyFont="1">
      <alignment horizontal="center" shrinkToFit="0" vertical="center" wrapText="0"/>
    </xf>
    <xf borderId="0" fillId="2" fontId="3" numFmtId="0" xfId="0" applyAlignment="1" applyFill="1" applyFont="1">
      <alignment horizontal="right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0" fillId="2" fontId="3" numFmtId="0" xfId="0" applyAlignment="1" applyFill="1" applyFont="1">
      <alignment horizontal="right" readingOrder="0" shrinkToFit="0" vertical="center" wrapText="0"/>
    </xf>
    <xf borderId="1" fillId="0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4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 shrinkToFit="0" wrapText="1"/>
    </xf>
    <xf borderId="4" fillId="0" fontId="6" numFmtId="164" xfId="0" applyAlignment="1" applyBorder="1" applyFont="1" applyNumberFormat="1">
      <alignment readingOrder="0"/>
    </xf>
    <xf borderId="4" fillId="0" fontId="6" numFmtId="1" xfId="0" applyAlignment="1" applyBorder="1" applyFont="1" applyNumberFormat="1">
      <alignment readingOrder="0"/>
    </xf>
    <xf borderId="4" fillId="0" fontId="6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rndown Chart Sprint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Burndown Sprint 1</a:t>
            </a:r>
          </a:p>
        </c:rich>
      </c:tx>
      <c:overlay val="0"/>
    </c:title>
    <c:plotArea>
      <c:layout/>
      <c:lineChart>
        <c:ser>
          <c:idx val="0"/>
          <c:order val="0"/>
          <c:tx>
            <c:v>Planificado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1'!$A$23:$A$49</c:f>
            </c:strRef>
          </c:cat>
          <c:val>
            <c:numRef>
              <c:f>'Burndown Chart Sprint 1'!$B$23:$B$49</c:f>
              <c:numCache/>
            </c:numRef>
          </c:val>
          <c:smooth val="0"/>
        </c:ser>
        <c:ser>
          <c:idx val="1"/>
          <c:order val="1"/>
          <c:tx>
            <c:v>Real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'Burndown Chart Sprint 1'!$A$23:$A$49</c:f>
            </c:strRef>
          </c:cat>
          <c:val>
            <c:numRef>
              <c:f>'Burndown Chart Sprint 1'!$F$23:$F$49</c:f>
              <c:numCache/>
            </c:numRef>
          </c:val>
          <c:smooth val="0"/>
        </c:ser>
        <c:axId val="514222159"/>
        <c:axId val="1282140560"/>
      </c:lineChart>
      <c:catAx>
        <c:axId val="514222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5400000"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</a:p>
        </c:txPr>
        <c:crossAx val="1282140560"/>
      </c:catAx>
      <c:valAx>
        <c:axId val="12821405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422215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647700</xdr:colOff>
      <xdr:row>25</xdr:row>
      <xdr:rowOff>66675</xdr:rowOff>
    </xdr:from>
    <xdr:ext cx="5962650" cy="4314825"/>
    <xdr:graphicFrame>
      <xdr:nvGraphicFramePr>
        <xdr:cNvPr id="1" name="Chart 1" title="Burndown Sprin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H17" displayName="Sprint_1" name="Sprint_1" id="1">
  <tableColumns count="8">
    <tableColumn name="ID" id="1"/>
    <tableColumn name="Historia / Tarea" id="2"/>
    <tableColumn name="Resp." id="3"/>
    <tableColumn name="SP" id="4"/>
    <tableColumn name="HH" id="5"/>
    <tableColumn name="Observaciones" id="6"/>
    <tableColumn name="Término Planificado" id="7"/>
    <tableColumn name="Término Real" id="8"/>
  </tableColumns>
  <tableStyleInfo name="Burndown Chart Sprint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14.0"/>
    <col customWidth="1" min="6" max="7" width="20.38"/>
    <col customWidth="1" min="8" max="8" width="17.25"/>
  </cols>
  <sheetData>
    <row r="5" ht="1.5" customHeight="1"/>
    <row r="6" ht="33.75" customHeight="1">
      <c r="A6" s="1" t="s">
        <v>0</v>
      </c>
      <c r="B6" s="2" t="s">
        <v>1</v>
      </c>
      <c r="C6" s="1" t="s">
        <v>2</v>
      </c>
      <c r="D6" s="3" t="s">
        <v>3</v>
      </c>
      <c r="E6" s="3" t="s">
        <v>4</v>
      </c>
      <c r="F6" s="4" t="s">
        <v>5</v>
      </c>
      <c r="G6" s="5" t="s">
        <v>6</v>
      </c>
      <c r="H6" s="5" t="s">
        <v>7</v>
      </c>
    </row>
    <row r="7" ht="22.5" customHeight="1">
      <c r="A7" s="6" t="s">
        <v>8</v>
      </c>
      <c r="B7" s="7" t="s">
        <v>9</v>
      </c>
      <c r="C7" s="8" t="s">
        <v>10</v>
      </c>
      <c r="D7" s="9">
        <v>5.0</v>
      </c>
      <c r="E7" s="9">
        <v>24.0</v>
      </c>
      <c r="F7" s="10" t="s">
        <v>11</v>
      </c>
      <c r="G7" s="11" t="s">
        <v>12</v>
      </c>
      <c r="H7" s="11" t="s">
        <v>12</v>
      </c>
    </row>
    <row r="8" ht="22.5" customHeight="1">
      <c r="A8" s="12" t="s">
        <v>13</v>
      </c>
      <c r="B8" s="13" t="s">
        <v>14</v>
      </c>
      <c r="C8" s="14" t="s">
        <v>15</v>
      </c>
      <c r="D8" s="15">
        <v>5.0</v>
      </c>
      <c r="E8" s="15">
        <v>24.0</v>
      </c>
      <c r="F8" s="16"/>
      <c r="G8" s="16" t="s">
        <v>16</v>
      </c>
      <c r="H8" s="16" t="s">
        <v>12</v>
      </c>
    </row>
    <row r="9" ht="22.5" customHeight="1">
      <c r="A9" s="17" t="s">
        <v>17</v>
      </c>
      <c r="B9" s="18" t="s">
        <v>18</v>
      </c>
      <c r="C9" s="19" t="s">
        <v>10</v>
      </c>
      <c r="D9" s="20">
        <v>3.0</v>
      </c>
      <c r="E9" s="20">
        <v>16.0</v>
      </c>
      <c r="F9" s="11"/>
      <c r="G9" s="11" t="s">
        <v>16</v>
      </c>
      <c r="H9" s="11" t="s">
        <v>16</v>
      </c>
    </row>
    <row r="10" ht="22.5" customHeight="1">
      <c r="A10" s="12" t="s">
        <v>19</v>
      </c>
      <c r="B10" s="13" t="s">
        <v>20</v>
      </c>
      <c r="C10" s="21" t="s">
        <v>10</v>
      </c>
      <c r="D10" s="15">
        <v>5.0</v>
      </c>
      <c r="E10" s="15">
        <v>24.0</v>
      </c>
      <c r="F10" s="16"/>
      <c r="G10" s="16" t="s">
        <v>12</v>
      </c>
      <c r="H10" s="16" t="s">
        <v>12</v>
      </c>
    </row>
    <row r="11" ht="22.5" customHeight="1">
      <c r="A11" s="17" t="s">
        <v>21</v>
      </c>
      <c r="B11" s="18" t="s">
        <v>22</v>
      </c>
      <c r="C11" s="19" t="s">
        <v>10</v>
      </c>
      <c r="D11" s="20">
        <v>5.0</v>
      </c>
      <c r="E11" s="20">
        <v>24.0</v>
      </c>
      <c r="F11" s="11"/>
      <c r="G11" s="11" t="s">
        <v>12</v>
      </c>
      <c r="H11" s="11" t="s">
        <v>16</v>
      </c>
    </row>
    <row r="12" ht="22.5" customHeight="1">
      <c r="A12" s="12" t="s">
        <v>23</v>
      </c>
      <c r="B12" s="13" t="s">
        <v>24</v>
      </c>
      <c r="C12" s="21" t="s">
        <v>25</v>
      </c>
      <c r="D12" s="15">
        <v>8.0</v>
      </c>
      <c r="E12" s="15">
        <v>40.0</v>
      </c>
      <c r="F12" s="16"/>
      <c r="G12" s="16" t="s">
        <v>12</v>
      </c>
      <c r="H12" s="16" t="s">
        <v>12</v>
      </c>
    </row>
    <row r="13" ht="22.5" customHeight="1">
      <c r="A13" s="17" t="s">
        <v>26</v>
      </c>
      <c r="B13" s="18" t="s">
        <v>27</v>
      </c>
      <c r="C13" s="19" t="s">
        <v>25</v>
      </c>
      <c r="D13" s="20">
        <v>5.0</v>
      </c>
      <c r="E13" s="20">
        <v>24.0</v>
      </c>
      <c r="F13" s="11"/>
      <c r="G13" s="11" t="s">
        <v>16</v>
      </c>
      <c r="H13" s="11" t="s">
        <v>12</v>
      </c>
    </row>
    <row r="14" ht="22.5" customHeight="1">
      <c r="A14" s="12" t="s">
        <v>28</v>
      </c>
      <c r="B14" s="13" t="s">
        <v>29</v>
      </c>
      <c r="C14" s="21" t="s">
        <v>15</v>
      </c>
      <c r="D14" s="15">
        <v>8.0</v>
      </c>
      <c r="E14" s="15">
        <v>40.0</v>
      </c>
      <c r="F14" s="16" t="s">
        <v>30</v>
      </c>
      <c r="G14" s="16" t="s">
        <v>16</v>
      </c>
      <c r="H14" s="16" t="s">
        <v>31</v>
      </c>
    </row>
    <row r="15" ht="22.5" customHeight="1">
      <c r="A15" s="17" t="s">
        <v>32</v>
      </c>
      <c r="B15" s="18" t="s">
        <v>33</v>
      </c>
      <c r="C15" s="19" t="s">
        <v>15</v>
      </c>
      <c r="D15" s="20">
        <v>8.0</v>
      </c>
      <c r="E15" s="20">
        <v>40.0</v>
      </c>
      <c r="F15" s="16" t="s">
        <v>30</v>
      </c>
      <c r="G15" s="11" t="s">
        <v>12</v>
      </c>
      <c r="H15" s="11" t="s">
        <v>31</v>
      </c>
    </row>
    <row r="16" ht="22.5" customHeight="1">
      <c r="A16" s="17" t="s">
        <v>34</v>
      </c>
      <c r="B16" s="18" t="s">
        <v>35</v>
      </c>
      <c r="C16" s="19" t="s">
        <v>10</v>
      </c>
      <c r="D16" s="20">
        <v>5.0</v>
      </c>
      <c r="E16" s="20">
        <v>24.0</v>
      </c>
      <c r="F16" s="16" t="s">
        <v>30</v>
      </c>
      <c r="G16" s="11" t="s">
        <v>12</v>
      </c>
      <c r="H16" s="11" t="s">
        <v>31</v>
      </c>
    </row>
    <row r="17" ht="22.5" customHeight="1">
      <c r="A17" s="22" t="s">
        <v>36</v>
      </c>
      <c r="B17" s="23"/>
      <c r="C17" s="24"/>
      <c r="D17" s="25">
        <f t="shared" ref="D17:E17" si="1">SUM(D7:D16)</f>
        <v>57</v>
      </c>
      <c r="E17" s="25">
        <f t="shared" si="1"/>
        <v>280</v>
      </c>
      <c r="F17" s="26"/>
      <c r="G17" s="26"/>
      <c r="H17" s="27"/>
    </row>
    <row r="19">
      <c r="A19" s="28" t="s">
        <v>37</v>
      </c>
      <c r="B19" s="29"/>
      <c r="C19" s="29"/>
      <c r="D19" s="29"/>
      <c r="E19" s="29"/>
      <c r="F19" s="29"/>
      <c r="G19" s="29"/>
      <c r="H19" s="30"/>
    </row>
    <row r="21">
      <c r="A21" s="28" t="s">
        <v>38</v>
      </c>
      <c r="B21" s="29"/>
      <c r="C21" s="30"/>
      <c r="E21" s="28" t="s">
        <v>39</v>
      </c>
      <c r="F21" s="29"/>
      <c r="G21" s="30"/>
    </row>
    <row r="22">
      <c r="A22" s="31" t="s">
        <v>40</v>
      </c>
      <c r="B22" s="31" t="s">
        <v>41</v>
      </c>
      <c r="C22" s="32" t="s">
        <v>42</v>
      </c>
      <c r="E22" s="31" t="s">
        <v>40</v>
      </c>
      <c r="F22" s="31" t="s">
        <v>41</v>
      </c>
      <c r="G22" s="32" t="s">
        <v>42</v>
      </c>
    </row>
    <row r="23">
      <c r="A23" s="33">
        <v>46237.0</v>
      </c>
      <c r="B23" s="34">
        <v>36.0</v>
      </c>
      <c r="C23" s="35">
        <v>0.0</v>
      </c>
      <c r="E23" s="33">
        <v>46237.0</v>
      </c>
      <c r="F23" s="35">
        <v>36.0</v>
      </c>
      <c r="G23" s="35">
        <v>0.0</v>
      </c>
    </row>
    <row r="24">
      <c r="A24" s="33">
        <v>46238.0</v>
      </c>
      <c r="B24" s="34">
        <f t="shared" ref="B24:B49" si="2">B23-(36/26)</f>
        <v>34.61538462</v>
      </c>
      <c r="C24" s="34">
        <f t="shared" ref="C24:C49" si="3">$B$23-B24</f>
        <v>1.384615385</v>
      </c>
      <c r="E24" s="33">
        <v>46238.0</v>
      </c>
      <c r="F24" s="35">
        <v>36.0</v>
      </c>
      <c r="G24" s="35">
        <v>0.0</v>
      </c>
    </row>
    <row r="25">
      <c r="A25" s="33">
        <v>46239.0</v>
      </c>
      <c r="B25" s="34">
        <f t="shared" si="2"/>
        <v>33.23076923</v>
      </c>
      <c r="C25" s="34">
        <f t="shared" si="3"/>
        <v>2.769230769</v>
      </c>
      <c r="E25" s="33">
        <v>46239.0</v>
      </c>
      <c r="F25" s="35">
        <v>36.0</v>
      </c>
      <c r="G25" s="35">
        <v>0.0</v>
      </c>
    </row>
    <row r="26">
      <c r="A26" s="33">
        <v>46240.0</v>
      </c>
      <c r="B26" s="34">
        <f t="shared" si="2"/>
        <v>31.84615385</v>
      </c>
      <c r="C26" s="34">
        <f t="shared" si="3"/>
        <v>4.153846154</v>
      </c>
      <c r="E26" s="33">
        <v>46240.0</v>
      </c>
      <c r="F26" s="35">
        <v>36.0</v>
      </c>
      <c r="G26" s="35">
        <v>0.0</v>
      </c>
    </row>
    <row r="27">
      <c r="A27" s="33">
        <v>46241.0</v>
      </c>
      <c r="B27" s="34">
        <f t="shared" si="2"/>
        <v>30.46153846</v>
      </c>
      <c r="C27" s="34">
        <f t="shared" si="3"/>
        <v>5.538461538</v>
      </c>
      <c r="E27" s="33">
        <v>46241.0</v>
      </c>
      <c r="F27" s="35">
        <f t="shared" ref="F27:F43" si="4">36-8</f>
        <v>28</v>
      </c>
      <c r="G27" s="36">
        <f t="shared" ref="G27:G43" si="5">SUM($D$9+$D$11)</f>
        <v>8</v>
      </c>
    </row>
    <row r="28">
      <c r="A28" s="33">
        <v>46242.0</v>
      </c>
      <c r="B28" s="34">
        <f t="shared" si="2"/>
        <v>29.07692308</v>
      </c>
      <c r="C28" s="34">
        <f t="shared" si="3"/>
        <v>6.923076923</v>
      </c>
      <c r="E28" s="33">
        <v>46242.0</v>
      </c>
      <c r="F28" s="35">
        <f t="shared" si="4"/>
        <v>28</v>
      </c>
      <c r="G28" s="36">
        <f t="shared" si="5"/>
        <v>8</v>
      </c>
    </row>
    <row r="29">
      <c r="A29" s="33">
        <v>46243.0</v>
      </c>
      <c r="B29" s="34">
        <f t="shared" si="2"/>
        <v>27.69230769</v>
      </c>
      <c r="C29" s="34">
        <f t="shared" si="3"/>
        <v>8.307692308</v>
      </c>
      <c r="E29" s="33">
        <v>46243.0</v>
      </c>
      <c r="F29" s="35">
        <f t="shared" si="4"/>
        <v>28</v>
      </c>
      <c r="G29" s="36">
        <f t="shared" si="5"/>
        <v>8</v>
      </c>
    </row>
    <row r="30">
      <c r="A30" s="33">
        <v>46244.0</v>
      </c>
      <c r="B30" s="34">
        <f t="shared" si="2"/>
        <v>26.30769231</v>
      </c>
      <c r="C30" s="34">
        <f t="shared" si="3"/>
        <v>9.692307692</v>
      </c>
      <c r="E30" s="33">
        <v>46244.0</v>
      </c>
      <c r="F30" s="35">
        <f t="shared" si="4"/>
        <v>28</v>
      </c>
      <c r="G30" s="36">
        <f t="shared" si="5"/>
        <v>8</v>
      </c>
    </row>
    <row r="31">
      <c r="A31" s="33">
        <v>46245.0</v>
      </c>
      <c r="B31" s="34">
        <f t="shared" si="2"/>
        <v>24.92307692</v>
      </c>
      <c r="C31" s="34">
        <f t="shared" si="3"/>
        <v>11.07692308</v>
      </c>
      <c r="E31" s="33">
        <v>46245.0</v>
      </c>
      <c r="F31" s="35">
        <f t="shared" si="4"/>
        <v>28</v>
      </c>
      <c r="G31" s="36">
        <f t="shared" si="5"/>
        <v>8</v>
      </c>
    </row>
    <row r="32">
      <c r="A32" s="33">
        <v>46246.0</v>
      </c>
      <c r="B32" s="34">
        <f t="shared" si="2"/>
        <v>23.53846154</v>
      </c>
      <c r="C32" s="34">
        <f t="shared" si="3"/>
        <v>12.46153846</v>
      </c>
      <c r="E32" s="33">
        <v>46246.0</v>
      </c>
      <c r="F32" s="35">
        <f t="shared" si="4"/>
        <v>28</v>
      </c>
      <c r="G32" s="36">
        <f t="shared" si="5"/>
        <v>8</v>
      </c>
    </row>
    <row r="33">
      <c r="A33" s="33">
        <v>46247.0</v>
      </c>
      <c r="B33" s="34">
        <f t="shared" si="2"/>
        <v>22.15384615</v>
      </c>
      <c r="C33" s="34">
        <f t="shared" si="3"/>
        <v>13.84615385</v>
      </c>
      <c r="E33" s="33">
        <v>46247.0</v>
      </c>
      <c r="F33" s="35">
        <f t="shared" si="4"/>
        <v>28</v>
      </c>
      <c r="G33" s="36">
        <f t="shared" si="5"/>
        <v>8</v>
      </c>
    </row>
    <row r="34">
      <c r="A34" s="33">
        <v>46248.0</v>
      </c>
      <c r="B34" s="34">
        <f t="shared" si="2"/>
        <v>20.76923077</v>
      </c>
      <c r="C34" s="34">
        <f t="shared" si="3"/>
        <v>15.23076923</v>
      </c>
      <c r="E34" s="33">
        <v>46248.0</v>
      </c>
      <c r="F34" s="35">
        <f t="shared" si="4"/>
        <v>28</v>
      </c>
      <c r="G34" s="36">
        <f t="shared" si="5"/>
        <v>8</v>
      </c>
    </row>
    <row r="35">
      <c r="A35" s="33">
        <v>46249.0</v>
      </c>
      <c r="B35" s="34">
        <f t="shared" si="2"/>
        <v>19.38461538</v>
      </c>
      <c r="C35" s="34">
        <f t="shared" si="3"/>
        <v>16.61538462</v>
      </c>
      <c r="E35" s="33">
        <v>46249.0</v>
      </c>
      <c r="F35" s="35">
        <f t="shared" si="4"/>
        <v>28</v>
      </c>
      <c r="G35" s="36">
        <f t="shared" si="5"/>
        <v>8</v>
      </c>
    </row>
    <row r="36">
      <c r="A36" s="33">
        <v>46250.0</v>
      </c>
      <c r="B36" s="34">
        <f t="shared" si="2"/>
        <v>18</v>
      </c>
      <c r="C36" s="34">
        <f t="shared" si="3"/>
        <v>18</v>
      </c>
      <c r="E36" s="33">
        <v>46250.0</v>
      </c>
      <c r="F36" s="35">
        <f t="shared" si="4"/>
        <v>28</v>
      </c>
      <c r="G36" s="36">
        <f t="shared" si="5"/>
        <v>8</v>
      </c>
    </row>
    <row r="37">
      <c r="A37" s="33">
        <v>46251.0</v>
      </c>
      <c r="B37" s="34">
        <f t="shared" si="2"/>
        <v>16.61538462</v>
      </c>
      <c r="C37" s="34">
        <f t="shared" si="3"/>
        <v>19.38461538</v>
      </c>
      <c r="E37" s="33">
        <v>46251.0</v>
      </c>
      <c r="F37" s="35">
        <f t="shared" si="4"/>
        <v>28</v>
      </c>
      <c r="G37" s="36">
        <f t="shared" si="5"/>
        <v>8</v>
      </c>
    </row>
    <row r="38">
      <c r="A38" s="33">
        <v>46252.0</v>
      </c>
      <c r="B38" s="34">
        <f t="shared" si="2"/>
        <v>15.23076923</v>
      </c>
      <c r="C38" s="34">
        <f t="shared" si="3"/>
        <v>20.76923077</v>
      </c>
      <c r="E38" s="33">
        <v>46252.0</v>
      </c>
      <c r="F38" s="35">
        <f t="shared" si="4"/>
        <v>28</v>
      </c>
      <c r="G38" s="36">
        <f t="shared" si="5"/>
        <v>8</v>
      </c>
    </row>
    <row r="39">
      <c r="A39" s="33">
        <v>46253.0</v>
      </c>
      <c r="B39" s="34">
        <f t="shared" si="2"/>
        <v>13.84615385</v>
      </c>
      <c r="C39" s="34">
        <f t="shared" si="3"/>
        <v>22.15384615</v>
      </c>
      <c r="E39" s="33">
        <v>46253.0</v>
      </c>
      <c r="F39" s="35">
        <f t="shared" si="4"/>
        <v>28</v>
      </c>
      <c r="G39" s="36">
        <f t="shared" si="5"/>
        <v>8</v>
      </c>
    </row>
    <row r="40">
      <c r="A40" s="33">
        <v>46254.0</v>
      </c>
      <c r="B40" s="34">
        <f t="shared" si="2"/>
        <v>12.46153846</v>
      </c>
      <c r="C40" s="34">
        <f t="shared" si="3"/>
        <v>23.53846154</v>
      </c>
      <c r="E40" s="33">
        <v>46254.0</v>
      </c>
      <c r="F40" s="35">
        <f t="shared" si="4"/>
        <v>28</v>
      </c>
      <c r="G40" s="36">
        <f t="shared" si="5"/>
        <v>8</v>
      </c>
    </row>
    <row r="41">
      <c r="A41" s="33">
        <v>46255.0</v>
      </c>
      <c r="B41" s="34">
        <f t="shared" si="2"/>
        <v>11.07692308</v>
      </c>
      <c r="C41" s="34">
        <f t="shared" si="3"/>
        <v>24.92307692</v>
      </c>
      <c r="E41" s="33">
        <v>46255.0</v>
      </c>
      <c r="F41" s="35">
        <f t="shared" si="4"/>
        <v>28</v>
      </c>
      <c r="G41" s="36">
        <f t="shared" si="5"/>
        <v>8</v>
      </c>
    </row>
    <row r="42">
      <c r="A42" s="33">
        <v>46256.0</v>
      </c>
      <c r="B42" s="34">
        <f t="shared" si="2"/>
        <v>9.692307692</v>
      </c>
      <c r="C42" s="34">
        <f t="shared" si="3"/>
        <v>26.30769231</v>
      </c>
      <c r="E42" s="33">
        <v>46256.0</v>
      </c>
      <c r="F42" s="35">
        <f t="shared" si="4"/>
        <v>28</v>
      </c>
      <c r="G42" s="36">
        <f t="shared" si="5"/>
        <v>8</v>
      </c>
    </row>
    <row r="43">
      <c r="A43" s="33">
        <v>46257.0</v>
      </c>
      <c r="B43" s="34">
        <f t="shared" si="2"/>
        <v>8.307692308</v>
      </c>
      <c r="C43" s="34">
        <f t="shared" si="3"/>
        <v>27.69230769</v>
      </c>
      <c r="E43" s="33">
        <v>46257.0</v>
      </c>
      <c r="F43" s="35">
        <f t="shared" si="4"/>
        <v>28</v>
      </c>
      <c r="G43" s="36">
        <f t="shared" si="5"/>
        <v>8</v>
      </c>
    </row>
    <row r="44">
      <c r="A44" s="33">
        <v>46258.0</v>
      </c>
      <c r="B44" s="34">
        <f t="shared" si="2"/>
        <v>6.923076923</v>
      </c>
      <c r="C44" s="34">
        <f t="shared" si="3"/>
        <v>29.07692308</v>
      </c>
      <c r="E44" s="33">
        <v>46258.0</v>
      </c>
      <c r="F44" s="35">
        <v>0.0</v>
      </c>
      <c r="G44" s="35">
        <v>36.0</v>
      </c>
    </row>
    <row r="45">
      <c r="A45" s="33">
        <v>46259.0</v>
      </c>
      <c r="B45" s="34">
        <f t="shared" si="2"/>
        <v>5.538461538</v>
      </c>
      <c r="C45" s="34">
        <f t="shared" si="3"/>
        <v>30.46153846</v>
      </c>
      <c r="E45" s="33">
        <v>46259.0</v>
      </c>
      <c r="F45" s="35">
        <v>0.0</v>
      </c>
      <c r="G45" s="35">
        <v>36.0</v>
      </c>
    </row>
    <row r="46">
      <c r="A46" s="33">
        <v>46260.0</v>
      </c>
      <c r="B46" s="34">
        <f t="shared" si="2"/>
        <v>4.153846154</v>
      </c>
      <c r="C46" s="34">
        <f t="shared" si="3"/>
        <v>31.84615385</v>
      </c>
      <c r="E46" s="33">
        <v>46260.0</v>
      </c>
      <c r="F46" s="35">
        <v>0.0</v>
      </c>
      <c r="G46" s="35">
        <v>36.0</v>
      </c>
    </row>
    <row r="47">
      <c r="A47" s="33">
        <v>46261.0</v>
      </c>
      <c r="B47" s="34">
        <f t="shared" si="2"/>
        <v>2.769230769</v>
      </c>
      <c r="C47" s="34">
        <f t="shared" si="3"/>
        <v>33.23076923</v>
      </c>
      <c r="E47" s="33">
        <v>46261.0</v>
      </c>
      <c r="F47" s="35">
        <v>0.0</v>
      </c>
      <c r="G47" s="35">
        <v>36.0</v>
      </c>
    </row>
    <row r="48">
      <c r="A48" s="33">
        <v>46262.0</v>
      </c>
      <c r="B48" s="34">
        <f t="shared" si="2"/>
        <v>1.384615385</v>
      </c>
      <c r="C48" s="34">
        <f t="shared" si="3"/>
        <v>34.61538462</v>
      </c>
      <c r="E48" s="33">
        <v>46262.0</v>
      </c>
      <c r="F48" s="35">
        <v>0.0</v>
      </c>
      <c r="G48" s="35">
        <v>36.0</v>
      </c>
    </row>
    <row r="49">
      <c r="A49" s="33">
        <v>46263.0</v>
      </c>
      <c r="B49" s="34">
        <f t="shared" si="2"/>
        <v>0</v>
      </c>
      <c r="C49" s="34">
        <f t="shared" si="3"/>
        <v>36</v>
      </c>
      <c r="E49" s="33">
        <v>46263.0</v>
      </c>
      <c r="F49" s="35">
        <v>0.0</v>
      </c>
      <c r="G49" s="35">
        <v>36.0</v>
      </c>
    </row>
    <row r="50">
      <c r="A50" s="37" t="s">
        <v>43</v>
      </c>
      <c r="B50" s="38"/>
      <c r="C50" s="38"/>
      <c r="D50" s="38"/>
      <c r="E50" s="38"/>
      <c r="F50" s="39"/>
    </row>
    <row r="51">
      <c r="A51" s="40"/>
      <c r="F51" s="41"/>
    </row>
    <row r="52">
      <c r="A52" s="40"/>
      <c r="F52" s="41"/>
    </row>
    <row r="53">
      <c r="A53" s="40"/>
      <c r="F53" s="41"/>
    </row>
    <row r="54">
      <c r="A54" s="42"/>
      <c r="B54" s="43"/>
      <c r="C54" s="43"/>
      <c r="D54" s="43"/>
      <c r="E54" s="43"/>
      <c r="F54" s="44"/>
    </row>
  </sheetData>
  <mergeCells count="4">
    <mergeCell ref="A19:H19"/>
    <mergeCell ref="A21:C21"/>
    <mergeCell ref="E21:G21"/>
    <mergeCell ref="A50:F54"/>
  </mergeCells>
  <dataValidations>
    <dataValidation type="custom" allowBlank="1" showDropDown="1" sqref="D7:E17">
      <formula1>AND(ISNUMBER(D7),(NOT(OR(NOT(ISERROR(DATEVALUE(D7))), AND(ISNUMBER(D7), LEFT(CELL("format", D7))="D")))))</formula1>
    </dataValidation>
  </dataValidations>
  <drawing r:id="rId1"/>
  <tableParts count="1">
    <tablePart r:id="rId3"/>
  </tableParts>
</worksheet>
</file>