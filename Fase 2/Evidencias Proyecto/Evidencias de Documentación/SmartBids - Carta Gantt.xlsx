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Inicial" sheetId="1" r:id="rId5"/>
    <sheet state="visible" name="Carta Gantt Actualizada" sheetId="2" r:id="rId6"/>
    <sheet state="visible" name="Burndown Chart Sprint 1" sheetId="3" r:id="rId7"/>
    <sheet state="visible" name="Burndown Chart Sprint 2" sheetId="4" r:id="rId8"/>
    <sheet state="visible" name="Burndown Chart Sprint 3" sheetId="5" r:id="rId9"/>
  </sheets>
  <definedNames/>
  <calcPr/>
</workbook>
</file>

<file path=xl/sharedStrings.xml><?xml version="1.0" encoding="utf-8"?>
<sst xmlns="http://schemas.openxmlformats.org/spreadsheetml/2006/main" count="316" uniqueCount="146">
  <si>
    <t>Actividades</t>
  </si>
  <si>
    <t>Fase 1</t>
  </si>
  <si>
    <t>Fase 2</t>
  </si>
  <si>
    <t>Fase 3</t>
  </si>
  <si>
    <t>Sprint 1</t>
  </si>
  <si>
    <t>Sprint 2</t>
  </si>
  <si>
    <t>Sprint 3</t>
  </si>
  <si>
    <t>Sprint 4</t>
  </si>
  <si>
    <t>Holgura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</si>
  <si>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</si>
  <si>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</si>
  <si>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</si>
  <si>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</si>
  <si>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</si>
  <si>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</si>
  <si>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</si>
  <si>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</si>
  <si>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</si>
  <si>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</si>
  <si>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</si>
  <si>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</si>
  <si>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</si>
  <si>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</si>
  <si>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</si>
  <si>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</si>
  <si>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</si>
  <si>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</si>
  <si>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E01-H01 - Landing Page</t>
  </si>
  <si>
    <t>E10-H01 - Diseño e Implementación de Base de Datos Operacional</t>
  </si>
  <si>
    <t>E10-H02 - Análisis Exploratorio del Dataset</t>
  </si>
  <si>
    <t>E02-H02 - Interfaz de Usuario</t>
  </si>
  <si>
    <t>E10-H03 - Diseño e Implementación del Data Warehouse</t>
  </si>
  <si>
    <t>E01-H02 - Registro de Prospecto</t>
  </si>
  <si>
    <t>E07-H01 - Dataset Curado</t>
  </si>
  <si>
    <t>E09-H01 - Arquitectura Cloud</t>
  </si>
  <si>
    <t>E09-H02 - Pipeline de ETL (Extract, Transform, Load)</t>
  </si>
  <si>
    <t>E02-H01 - Autenticación 2FA</t>
  </si>
  <si>
    <t>HITO 1:  Fin Fase 1 Planificación -&gt; Inicio Fase 2 Desarrollo</t>
  </si>
  <si>
    <t>E10-H05 - Selección de Variables del Modelo</t>
  </si>
  <si>
    <t>E08-H01 - Carga y Actualización de Procesos</t>
  </si>
  <si>
    <t>E08-H02 - Motor de Oportunidades</t>
  </si>
  <si>
    <t>E10-H04 - Integración Motor de Oportunidades con la Plataforma</t>
  </si>
  <si>
    <t>E04-H01 - Consulta Oportunidades</t>
  </si>
  <si>
    <t>E02-H03 - Configuración Perfil Rubro</t>
  </si>
  <si>
    <t>E07-H02 - Modelo Predictivo</t>
  </si>
  <si>
    <t>E06-H01 - Dashboard Productos</t>
  </si>
  <si>
    <t>E06-H02 - Dashboard Competencia</t>
  </si>
  <si>
    <t>E06-H03 - Dashboard Compradores</t>
  </si>
  <si>
    <t>E08-H03 - Motor Notificaciones</t>
  </si>
  <si>
    <t>E10-H06 - Integración del Modelo Predictivo con SmartBids</t>
  </si>
  <si>
    <t>E07-H04 - Evaluador Predictivo</t>
  </si>
  <si>
    <t>E04-H02 - Seguimiento Procesos</t>
  </si>
  <si>
    <t>E10-H07 - Despliegue del Modelo Predictivo</t>
  </si>
  <si>
    <t>E04-H03 - Consulta Historial</t>
  </si>
  <si>
    <t>HITO 2: Evaluación Avance Fase 2 Desarrollo</t>
  </si>
  <si>
    <t>E06-H04 - Exportador de Datos</t>
  </si>
  <si>
    <t>E01-H03 - Gestión de Suscripción</t>
  </si>
  <si>
    <t>E10-H12 - Optimización ETL y Data Warehouse</t>
  </si>
  <si>
    <t>E10-H10 - Optimización del Modelo Predictivo</t>
  </si>
  <si>
    <t>E10-H09 - Pruebas Funcionales de la Plataforma</t>
  </si>
  <si>
    <t>E07-H05 - Informe de Validación</t>
  </si>
  <si>
    <t>E10-H11 - Validación Final del Modelo Predictivo</t>
  </si>
  <si>
    <t>E10-H13 - Validación ETL y Dashboards</t>
  </si>
  <si>
    <t>HITO 3: Cierre Fase 2 Desarrollo</t>
  </si>
  <si>
    <t>HITO 4: Cierre Proyecto</t>
  </si>
  <si>
    <t>ID</t>
  </si>
  <si>
    <t>Historia / Tarea</t>
  </si>
  <si>
    <t>Resp.</t>
  </si>
  <si>
    <t>SP</t>
  </si>
  <si>
    <t>HH</t>
  </si>
  <si>
    <t>Observaciones</t>
  </si>
  <si>
    <t>Término Planificado</t>
  </si>
  <si>
    <t>Término Real</t>
  </si>
  <si>
    <t xml:space="preserve">E02-H01 </t>
  </si>
  <si>
    <t>Autenticación y seguridad</t>
  </si>
  <si>
    <t>E09-H01</t>
  </si>
  <si>
    <t>NM</t>
  </si>
  <si>
    <t>Arquitectura Cloud</t>
  </si>
  <si>
    <t>Se adelanta historia a pedido del cliente</t>
  </si>
  <si>
    <t>Historia pendiente del Sprint 1, incorporada al Sprint 2</t>
  </si>
  <si>
    <t>E10-H01</t>
  </si>
  <si>
    <t>Diseño e Implementación Base de Datos Operacional</t>
  </si>
  <si>
    <t>FO</t>
  </si>
  <si>
    <t>E10-H03</t>
  </si>
  <si>
    <t>Diseño e Implementación del Data Warehouse</t>
  </si>
  <si>
    <t>E01-H01</t>
  </si>
  <si>
    <t>Landing Page</t>
  </si>
  <si>
    <t>E09-H02</t>
  </si>
  <si>
    <t>Pipeline ETL Inicial</t>
  </si>
  <si>
    <t>E01-H02</t>
  </si>
  <si>
    <t>Registro Prospecto</t>
  </si>
  <si>
    <t>E02-H03</t>
  </si>
  <si>
    <t>Configuración Perfil Rubro</t>
  </si>
  <si>
    <t>E02-H02</t>
  </si>
  <si>
    <t>Interfaz de Usuario Base</t>
  </si>
  <si>
    <t>E04-H01</t>
  </si>
  <si>
    <t>Consulta Oportunidades</t>
  </si>
  <si>
    <t>E07-H01</t>
  </si>
  <si>
    <t>Dataset Curado</t>
  </si>
  <si>
    <t>MG</t>
  </si>
  <si>
    <t>E08-H02</t>
  </si>
  <si>
    <t>E10-H02</t>
  </si>
  <si>
    <t>Motor de Oportunidades</t>
  </si>
  <si>
    <t>Análisis Exploratorio de Datos (EDA)</t>
  </si>
  <si>
    <t>E10-H04</t>
  </si>
  <si>
    <t>Integración Motor de Oportunidades con la Plataforma</t>
  </si>
  <si>
    <t>Se traslada a Sprint 2</t>
  </si>
  <si>
    <t>Pendiente</t>
  </si>
  <si>
    <t>E10-H05</t>
  </si>
  <si>
    <t>Selección de Variables del Modelo</t>
  </si>
  <si>
    <t>E07-H02</t>
  </si>
  <si>
    <t>Modelo Predictivo</t>
  </si>
  <si>
    <t>Total</t>
  </si>
  <si>
    <t>E06-H01</t>
  </si>
  <si>
    <t>Dashboard Productos</t>
  </si>
  <si>
    <t>Se traslada a Sprint 3</t>
  </si>
  <si>
    <t>E06-H02</t>
  </si>
  <si>
    <t>Dashboard Competencia</t>
  </si>
  <si>
    <t>Completados: 36 SP · Pendientes trasladados a sprint 2: 21 SP.</t>
  </si>
  <si>
    <t>Sprint 1 36 SP</t>
  </si>
  <si>
    <t>Sprint 1 Avance Real</t>
  </si>
  <si>
    <t>Periodo</t>
  </si>
  <si>
    <t>SP restantes</t>
  </si>
  <si>
    <t>SP completados acumulados</t>
  </si>
  <si>
    <t>Completados: 55 SP · Pendientes trasladados a sprint 3: 16 SP.</t>
  </si>
  <si>
    <t>Sprint 2 Planificación</t>
  </si>
  <si>
    <t>Sprint 2 Avance Real</t>
  </si>
  <si>
    <t>Durante el Sprint se presentaron impedimentos técnicos relacionados con el hosting y el acceso a datos de órdenes de compra, lo que retrasó algunas historias. Además, se adelantó la historia de Autenticación y Seguridad a solicitud del cliente.</t>
  </si>
  <si>
    <t>E04-H02</t>
  </si>
  <si>
    <t>Seguimiento Procesos</t>
  </si>
  <si>
    <t>E04-H03</t>
  </si>
  <si>
    <t>Consulta Historial</t>
  </si>
  <si>
    <t>E08-H03</t>
  </si>
  <si>
    <t>Motor Notificaciones</t>
  </si>
  <si>
    <t>E07-H04</t>
  </si>
  <si>
    <t>Evaluador Predictivo</t>
  </si>
  <si>
    <t>E10-H06</t>
  </si>
  <si>
    <t>Integración del Modelo Predictivo con SmartBids</t>
  </si>
  <si>
    <t>E10-H07</t>
  </si>
  <si>
    <t>Despliegue del Modelo Predictivo</t>
  </si>
  <si>
    <t>E06-H03</t>
  </si>
  <si>
    <t>Dashboard Compradores</t>
  </si>
  <si>
    <t>E06-H04</t>
  </si>
  <si>
    <t>Exportador de Datos</t>
  </si>
  <si>
    <t>Sprint 1 Planificación</t>
  </si>
  <si>
    <t>Sprint 1 52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</si>
</sst>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8">
    <font>
      <sz val="10.0"/>
      <color rgb="FF000000"/>
      <name val="Arial"/>
      <scheme val="minor"/>
    </font>
    <font>
      <b/>
      <sz val="22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/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sz val="12.0"/>
      <color rgb="FFFFFFFF"/>
      <name val="Calibri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color theme="1"/>
      <name val="Arial"/>
    </font>
    <font>
      <b/>
      <color theme="1"/>
      <name val="Roboto"/>
    </font>
    <font>
      <b/>
      <color rgb="FFFFFFFF"/>
      <name val="Roboto"/>
    </font>
    <font>
      <color rgb="FF434343"/>
      <name val="Roboto"/>
    </font>
    <font>
      <b/>
      <color rgb="FF434343"/>
      <name val="Roboto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164" xfId="0" applyAlignment="1" applyFill="1" applyFont="1" applyNumberFormat="1">
      <alignment horizontal="center" readingOrder="0" shrinkToFit="0" textRotation="90" vertical="center" wrapText="1"/>
    </xf>
    <xf borderId="0" fillId="2" fontId="3" numFmtId="164" xfId="0" applyAlignment="1" applyFill="1" applyFont="1" applyNumberFormat="1">
      <alignment horizontal="center" readingOrder="0" shrinkToFit="0" textRotation="9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2" fillId="0" fontId="4" numFmtId="0" xfId="0" applyBorder="1" applyFont="1"/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3" fontId="5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5" fillId="4" fontId="5" numFmtId="0" xfId="0" applyAlignment="1" applyBorder="1" applyFill="1" applyFont="1">
      <alignment horizontal="center" readingOrder="0"/>
    </xf>
    <xf borderId="5" fillId="5" fontId="5" numFmtId="0" xfId="0" applyAlignment="1" applyBorder="1" applyFill="1" applyFont="1">
      <alignment horizontal="center" readingOrder="0"/>
    </xf>
    <xf borderId="5" fillId="6" fontId="5" numFmtId="0" xfId="0" applyAlignment="1" applyBorder="1" applyFill="1" applyFont="1">
      <alignment horizontal="center" readingOrder="0"/>
    </xf>
    <xf borderId="5" fillId="7" fontId="6" numFmtId="0" xfId="0" applyAlignment="1" applyBorder="1" applyFill="1" applyFont="1">
      <alignment horizontal="center" readingOrder="0"/>
    </xf>
    <xf borderId="8" fillId="0" fontId="4" numFmtId="0" xfId="0" applyBorder="1" applyFont="1"/>
    <xf borderId="9" fillId="7" fontId="7" numFmtId="0" xfId="0" applyAlignment="1" applyBorder="1" applyFill="1" applyFont="1">
      <alignment horizontal="center" readingOrder="0" shrinkToFit="0" wrapText="1"/>
    </xf>
    <xf borderId="8" fillId="7" fontId="7" numFmtId="0" xfId="0" applyAlignment="1" applyBorder="1" applyFill="1" applyFont="1">
      <alignment horizontal="center" readingOrder="0" shrinkToFit="0" wrapText="1"/>
    </xf>
    <xf borderId="9" fillId="8" fontId="8" numFmtId="0" xfId="0" applyAlignment="1" applyBorder="1" applyFill="1" applyFont="1">
      <alignment horizontal="left" readingOrder="0" shrinkToFit="0" vertical="center" wrapText="1"/>
    </xf>
    <xf borderId="5" fillId="9" fontId="9" numFmtId="0" xfId="0" applyAlignment="1" applyBorder="1" applyFill="1" applyFont="1">
      <alignment horizontal="left" shrinkToFit="0" vertical="top" wrapText="1"/>
    </xf>
    <xf borderId="3" fillId="0" fontId="9" numFmtId="0" xfId="0" applyAlignment="1" applyBorder="1" applyFont="1">
      <alignment horizontal="left" shrinkToFit="0" vertical="top" wrapText="1"/>
    </xf>
    <xf borderId="5" fillId="9" fontId="10" numFmtId="0" xfId="0" applyBorder="1" applyFill="1" applyFont="1"/>
    <xf borderId="3" fillId="0" fontId="10" numFmtId="0" xfId="0" applyBorder="1" applyFont="1"/>
    <xf borderId="3" fillId="10" fontId="10" numFmtId="0" xfId="0" applyBorder="1" applyFill="1" applyFont="1"/>
    <xf borderId="5" fillId="8" fontId="8" numFmtId="0" xfId="0" applyAlignment="1" applyBorder="1" applyFill="1" applyFont="1">
      <alignment horizontal="left" readingOrder="0" shrinkToFit="0" vertical="center" wrapText="1"/>
    </xf>
    <xf borderId="9" fillId="9" fontId="10" numFmtId="0" xfId="0" applyBorder="1" applyFill="1" applyFont="1"/>
    <xf borderId="0" fillId="0" fontId="10" numFmtId="0" xfId="0" applyAlignment="1" applyFont="1">
      <alignment horizontal="left" shrinkToFit="0" vertical="top" wrapText="1"/>
    </xf>
    <xf borderId="10" fillId="9" fontId="10" numFmtId="0" xfId="0" applyBorder="1" applyFill="1" applyFont="1"/>
    <xf borderId="1" fillId="0" fontId="10" numFmtId="0" xfId="0" applyAlignment="1" applyBorder="1" applyFont="1">
      <alignment horizontal="left" shrinkToFit="0" vertical="top" wrapText="1"/>
    </xf>
    <xf borderId="6" fillId="9" fontId="10" numFmtId="0" xfId="0" applyAlignment="1" applyBorder="1" applyFill="1" applyFont="1">
      <alignment horizontal="left" shrinkToFit="0" vertical="top" wrapText="1"/>
    </xf>
    <xf borderId="3" fillId="0" fontId="10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shrinkToFit="0" vertical="top" wrapText="1"/>
    </xf>
    <xf borderId="4" fillId="0" fontId="10" numFmtId="0" xfId="0" applyBorder="1" applyFont="1"/>
    <xf borderId="6" fillId="9" fontId="10" numFmtId="0" xfId="0" applyBorder="1" applyFill="1" applyFont="1"/>
    <xf borderId="0" fillId="0" fontId="10" numFmtId="0" xfId="0" applyFont="1"/>
    <xf borderId="11" fillId="0" fontId="10" numFmtId="0" xfId="0" applyBorder="1" applyFont="1"/>
    <xf borderId="12" fillId="0" fontId="4" numFmtId="0" xfId="0" applyBorder="1" applyFont="1"/>
    <xf borderId="5" fillId="8" fontId="8" numFmtId="0" xfId="0" applyAlignment="1" applyBorder="1" applyFill="1" applyFont="1">
      <alignment readingOrder="0" shrinkToFit="0" vertical="center" wrapText="1"/>
    </xf>
    <xf borderId="13" fillId="0" fontId="4" numFmtId="0" xfId="0" applyBorder="1" applyFont="1"/>
    <xf borderId="5" fillId="11" fontId="11" numFmtId="0" xfId="0" applyAlignment="1" applyBorder="1" applyFill="1" applyFont="1">
      <alignment horizontal="left" readingOrder="0" shrinkToFit="0" vertical="center" wrapText="1"/>
    </xf>
    <xf borderId="10" fillId="0" fontId="10" numFmtId="0" xfId="0" applyBorder="1" applyFont="1"/>
    <xf borderId="14" fillId="0" fontId="4" numFmtId="0" xfId="0" applyBorder="1" applyFont="1"/>
    <xf borderId="15" fillId="0" fontId="4" numFmtId="0" xfId="0" applyBorder="1" applyFont="1"/>
    <xf borderId="6" fillId="12" fontId="10" numFmtId="0" xfId="0" applyBorder="1" applyFill="1" applyFont="1"/>
    <xf borderId="5" fillId="13" fontId="10" numFmtId="0" xfId="0" applyBorder="1" applyFill="1" applyFont="1"/>
    <xf borderId="6" fillId="13" fontId="10" numFmtId="0" xfId="0" applyBorder="1" applyFill="1" applyFont="1"/>
    <xf borderId="0" fillId="10" fontId="10" numFmtId="0" xfId="0" applyFill="1" applyFont="1"/>
    <xf borderId="9" fillId="8" fontId="8" numFmtId="0" xfId="0" applyAlignment="1" applyBorder="1" applyFill="1" applyFont="1">
      <alignment readingOrder="0" shrinkToFit="0" vertical="center" wrapText="1"/>
    </xf>
    <xf borderId="13" fillId="0" fontId="10" numFmtId="0" xfId="0" applyBorder="1" applyFont="1"/>
    <xf borderId="6" fillId="14" fontId="10" numFmtId="0" xfId="0" applyBorder="1" applyFill="1" applyFont="1"/>
    <xf borderId="5" fillId="14" fontId="10" numFmtId="0" xfId="0" applyBorder="1" applyFill="1" applyFont="1"/>
    <xf borderId="5" fillId="11" fontId="11" numFmtId="0" xfId="0" applyAlignment="1" applyBorder="1" applyFill="1" applyFont="1">
      <alignment readingOrder="0" shrinkToFit="0" vertical="center" wrapText="1"/>
    </xf>
    <xf borderId="7" fillId="12" fontId="10" numFmtId="0" xfId="0" applyBorder="1" applyFill="1" applyFont="1"/>
    <xf borderId="9" fillId="12" fontId="10" numFmtId="0" xfId="0" applyBorder="1" applyFill="1" applyFont="1"/>
    <xf borderId="5" fillId="15" fontId="10" numFmtId="0" xfId="0" applyBorder="1" applyFill="1" applyFont="1"/>
    <xf borderId="6" fillId="15" fontId="10" numFmtId="0" xfId="0" applyBorder="1" applyFill="1" applyFont="1"/>
    <xf borderId="11" fillId="0" fontId="12" numFmtId="0" xfId="0" applyAlignment="1" applyBorder="1" applyFont="1">
      <alignment vertical="bottom"/>
    </xf>
    <xf borderId="0" fillId="0" fontId="13" numFmtId="0" xfId="0" applyAlignment="1" applyFont="1">
      <alignment horizontal="center" readingOrder="0" shrinkToFit="0" vertical="center" wrapText="0"/>
    </xf>
    <xf borderId="0" fillId="16" fontId="14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16" fontId="14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right" readingOrder="0" shrinkToFit="0" vertical="center" wrapText="0"/>
    </xf>
    <xf borderId="0" fillId="16" fontId="14" numFmtId="0" xfId="0" applyAlignment="1" applyFill="1" applyFont="1">
      <alignment horizontal="right" readingOrder="0" shrinkToFit="0" vertical="center" wrapText="0"/>
    </xf>
    <xf borderId="0" fillId="0" fontId="13" numFmtId="49" xfId="0" applyAlignment="1" applyFont="1" applyNumberFormat="1">
      <alignment horizontal="right" readingOrder="0" shrinkToFit="0" vertical="center" wrapText="0"/>
    </xf>
    <xf borderId="0" fillId="0" fontId="13" numFmtId="0" xfId="0" applyAlignment="1" applyFont="1">
      <alignment horizontal="right" readingOrder="0" shrinkToFit="0" vertical="center" wrapText="0"/>
    </xf>
    <xf borderId="0" fillId="10" fontId="15" numFmtId="0" xfId="0" applyAlignment="1" applyFill="1" applyFont="1">
      <alignment readingOrder="0" shrinkToFit="0" vertical="center" wrapText="0"/>
    </xf>
    <xf borderId="0" fillId="10" fontId="15" numFmtId="0" xfId="0" applyAlignment="1" applyFill="1" applyFont="1">
      <alignment readingOrder="0" shrinkToFit="0" vertical="center" wrapText="1"/>
    </xf>
    <xf borderId="0" fillId="10" fontId="15" numFmtId="0" xfId="0" applyAlignment="1" applyFill="1" applyFont="1">
      <alignment shrinkToFit="0" vertical="center" wrapText="0"/>
    </xf>
    <xf borderId="0" fillId="10" fontId="15" numFmtId="0" xfId="0" applyAlignment="1" applyFill="1" applyFont="1">
      <alignment horizontal="center" readingOrder="0" shrinkToFit="0" vertical="center" wrapText="0"/>
    </xf>
    <xf borderId="0" fillId="10" fontId="15" numFmtId="0" xfId="0" applyAlignment="1" applyFill="1" applyFont="1">
      <alignment shrinkToFit="0" vertical="center" wrapText="1"/>
    </xf>
    <xf borderId="0" fillId="10" fontId="15" numFmtId="0" xfId="0" applyAlignment="1" applyFill="1" applyFont="1">
      <alignment horizontal="right" readingOrder="0" shrinkToFit="0" vertical="center" wrapText="0"/>
    </xf>
    <xf borderId="0" fillId="10" fontId="15" numFmtId="0" xfId="0" applyAlignment="1" applyFill="1" applyFont="1">
      <alignment horizontal="center" shrinkToFit="0" vertical="center" wrapText="0"/>
    </xf>
    <xf borderId="0" fillId="10" fontId="15" numFmtId="0" xfId="0" applyAlignment="1" applyFill="1" applyFont="1">
      <alignment horizontal="right" shrinkToFit="0" vertical="center" wrapText="0"/>
    </xf>
    <xf borderId="0" fillId="10" fontId="15" numFmtId="0" xfId="0" applyAlignment="1" applyFill="1" applyFont="1">
      <alignment horizontal="right" readingOrder="0" shrinkToFit="0" vertical="center" wrapText="1"/>
    </xf>
    <xf borderId="0" fillId="10" fontId="15" numFmtId="0" xfId="0" applyAlignment="1" applyFill="1" applyFont="1">
      <alignment horizontal="right" readingOrder="0" shrinkToFit="0" vertical="center" wrapText="0"/>
    </xf>
    <xf borderId="0" fillId="17" fontId="15" numFmtId="164" xfId="0" applyAlignment="1" applyFill="1" applyFont="1" applyNumberFormat="1">
      <alignment horizontal="right" readingOrder="0" shrinkToFit="0" vertical="center" wrapText="0"/>
    </xf>
    <xf borderId="0" fillId="17" fontId="15" numFmtId="0" xfId="0" applyAlignment="1" applyFill="1" applyFont="1">
      <alignment shrinkToFit="0" vertical="center" wrapText="0"/>
    </xf>
    <xf borderId="0" fillId="17" fontId="15" numFmtId="0" xfId="0" applyAlignment="1" applyFill="1" applyFont="1">
      <alignment shrinkToFit="0" vertical="center" wrapText="1"/>
    </xf>
    <xf borderId="0" fillId="17" fontId="15" numFmtId="0" xfId="0" applyAlignment="1" applyFill="1" applyFont="1">
      <alignment horizontal="center" readingOrder="0" shrinkToFit="0" vertical="center" wrapText="0"/>
    </xf>
    <xf borderId="0" fillId="17" fontId="15" numFmtId="0" xfId="0" applyAlignment="1" applyFill="1" applyFont="1">
      <alignment horizontal="right" shrinkToFit="0" vertical="center" wrapText="0"/>
    </xf>
    <xf borderId="0" fillId="17" fontId="15" numFmtId="0" xfId="0" applyAlignment="1" applyFill="1" applyFont="1">
      <alignment horizontal="center" shrinkToFit="0" vertical="center" wrapText="0"/>
    </xf>
    <xf borderId="0" fillId="17" fontId="15" numFmtId="0" xfId="0" applyAlignment="1" applyFill="1" applyFont="1">
      <alignment horizontal="right" readingOrder="0" shrinkToFit="0" vertical="center" wrapText="0"/>
    </xf>
    <xf borderId="0" fillId="17" fontId="15" numFmtId="0" xfId="0" applyAlignment="1" applyFill="1" applyFont="1">
      <alignment horizontal="center" shrinkToFit="0" vertical="center" wrapText="0"/>
    </xf>
    <xf borderId="0" fillId="10" fontId="15" numFmtId="164" xfId="0" applyAlignment="1" applyFill="1" applyFont="1" applyNumberFormat="1">
      <alignment horizontal="right" readingOrder="0" shrinkToFit="0" vertical="center" wrapText="0"/>
    </xf>
    <xf borderId="0" fillId="10" fontId="16" numFmtId="0" xfId="0" applyAlignment="1" applyFill="1" applyFont="1">
      <alignment readingOrder="0" shrinkToFit="0" vertical="center" wrapText="0"/>
    </xf>
    <xf borderId="0" fillId="10" fontId="16" numFmtId="0" xfId="0" applyAlignment="1" applyFill="1" applyFont="1">
      <alignment shrinkToFit="0" vertical="center" wrapText="1"/>
    </xf>
    <xf borderId="0" fillId="10" fontId="16" numFmtId="0" xfId="0" applyAlignment="1" applyFill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right" shrinkToFit="0" vertical="center" wrapText="0"/>
    </xf>
    <xf borderId="0" fillId="10" fontId="16" numFmtId="0" xfId="0" applyAlignment="1" applyFill="1" applyFont="1">
      <alignment horizontal="right" shrinkToFit="0" vertical="center" wrapText="0"/>
    </xf>
    <xf borderId="0" fillId="0" fontId="15" numFmtId="0" xfId="0" applyAlignment="1" applyFont="1">
      <alignment horizontal="right" readingOrder="0" shrinkToFit="0" vertical="center" wrapText="0"/>
    </xf>
    <xf borderId="0" fillId="0" fontId="15" numFmtId="164" xfId="0" applyAlignment="1" applyFont="1" applyNumberFormat="1">
      <alignment horizontal="right" readingOrder="0" shrinkToFit="0" vertical="center" wrapText="0"/>
    </xf>
    <xf borderId="0" fillId="10" fontId="16" numFmtId="0" xfId="0" applyAlignment="1" applyFill="1" applyFont="1">
      <alignment horizontal="right"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10" fontId="16" numFmtId="0" xfId="0" applyAlignment="1" applyFill="1" applyFont="1">
      <alignment horizontal="right" readingOrder="0" shrinkToFit="0" vertical="center" wrapText="0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0"/>
    </xf>
    <xf borderId="5" fillId="0" fontId="17" numFmtId="0" xfId="0" applyAlignment="1" applyBorder="1" applyFont="1">
      <alignment horizontal="center" readingOrder="0"/>
    </xf>
    <xf borderId="0" fillId="0" fontId="15" numFmtId="0" xfId="0" applyAlignment="1" applyFont="1">
      <alignment horizontal="right" readingOrder="0" shrinkToFit="0" vertical="center" wrapText="1"/>
    </xf>
    <xf borderId="9" fillId="0" fontId="17" numFmtId="0" xfId="0" applyAlignment="1" applyBorder="1" applyFont="1">
      <alignment readingOrder="0"/>
    </xf>
    <xf borderId="9" fillId="0" fontId="17" numFmtId="0" xfId="0" applyAlignment="1" applyBorder="1" applyFont="1">
      <alignment readingOrder="0" shrinkToFit="0" wrapText="1"/>
    </xf>
    <xf borderId="9" fillId="0" fontId="10" numFmtId="164" xfId="0" applyAlignment="1" applyBorder="1" applyFont="1" applyNumberFormat="1">
      <alignment readingOrder="0"/>
    </xf>
    <xf borderId="9" fillId="0" fontId="10" numFmtId="1" xfId="0" applyAlignment="1" applyBorder="1" applyFont="1" applyNumberFormat="1">
      <alignment readingOrder="0"/>
    </xf>
    <xf borderId="9" fillId="0" fontId="10" numFmtId="0" xfId="0" applyAlignment="1" applyBorder="1" applyFont="1">
      <alignment readingOrder="0"/>
    </xf>
    <xf borderId="3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2" fillId="0" fontId="17" numFmtId="0" xfId="0" applyAlignment="1" applyBorder="1" applyFont="1">
      <alignment readingOrder="0" shrinkToFit="0" wrapText="1"/>
    </xf>
    <xf borderId="9" fillId="0" fontId="10" numFmtId="0" xfId="0" applyAlignment="1" applyBorder="1" applyFont="1">
      <alignment readingOrder="0"/>
    </xf>
    <xf borderId="10" fillId="0" fontId="10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11" fillId="0" fontId="4" numFmtId="0" xfId="0" applyBorder="1" applyFont="1"/>
    <xf borderId="0" fillId="0" fontId="15" numFmtId="165" xfId="0" applyAlignment="1" applyFont="1" applyNumberFormat="1">
      <alignment horizontal="right" readingOrder="0" shrinkToFit="0" vertical="center" wrapText="0"/>
    </xf>
    <xf borderId="0" fillId="0" fontId="10" numFmtId="0" xfId="0" applyAlignment="1" applyFont="1">
      <alignment readingOrder="0"/>
    </xf>
    <xf borderId="9" fillId="0" fontId="8" numFmtId="164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Burndown Chart Sprint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rndown Chart Sprin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rndown Chart Sprint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Planificado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1'!$A$23:$A$49</c:f>
            </c:strRef>
          </c:cat>
          <c:val>
            <c:numRef>
              <c:f>'Burndown Chart Sprint 1'!$B$23:$B$49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1'!$A$23:$A$49</c:f>
            </c:strRef>
          </c:cat>
          <c:val>
            <c:numRef>
              <c:f>'Burndown Chart Sprint 1'!$F$23:$F$49</c:f>
              <c:numCache/>
            </c:numRef>
          </c:val>
          <c:smooth val="0"/>
        </c:ser>
        <c:axId val="2095247332"/>
        <c:axId val="1266724552"/>
      </c:lineChart>
      <c:catAx>
        <c:axId val="2095247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266724552"/>
      </c:catAx>
      <c:valAx>
        <c:axId val="1266724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2473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Planificado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2'!$E$24:$E$56</c:f>
            </c:strRef>
          </c:cat>
          <c:val>
            <c:numRef>
              <c:f>'Burndown Chart Sprint 2'!$B$24:$B$56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2'!$E$24:$E$56</c:f>
            </c:strRef>
          </c:cat>
          <c:val>
            <c:numRef>
              <c:f>'Burndown Chart Sprint 2'!$F$24:$F$56</c:f>
              <c:numCache/>
            </c:numRef>
          </c:val>
          <c:smooth val="0"/>
        </c:ser>
        <c:axId val="862286364"/>
        <c:axId val="1167255587"/>
      </c:lineChart>
      <c:catAx>
        <c:axId val="862286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255587"/>
      </c:catAx>
      <c:valAx>
        <c:axId val="1167255587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2863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3</a:t>
            </a:r>
          </a:p>
        </c:rich>
      </c:tx>
      <c:layout>
        <c:manualLayout>
          <c:xMode val="edge"/>
          <c:yMode val="edge"/>
          <c:x val="0.028583333333333336"/>
          <c:y val="0.05"/>
        </c:manualLayout>
      </c:layout>
      <c:overlay val="0"/>
    </c:title>
    <c:plotArea>
      <c:layout/>
      <c:lineChart>
        <c:ser>
          <c:idx val="0"/>
          <c:order val="0"/>
          <c:tx>
            <c:v>Planificado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3'!$E$24:$E$49</c:f>
            </c:strRef>
          </c:cat>
          <c:val>
            <c:numRef>
              <c:f>'Burndown Chart Sprint 3'!$B$24:$B$49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3'!$E$24:$E$49</c:f>
            </c:strRef>
          </c:cat>
          <c:val>
            <c:numRef>
              <c:f>'Burndown Chart Sprint 3'!$F$24:$F$49</c:f>
              <c:numCache/>
            </c:numRef>
          </c:val>
          <c:smooth val="0"/>
        </c:ser>
        <c:axId val="469252763"/>
        <c:axId val="1984554461"/>
      </c:lineChart>
      <c:catAx>
        <c:axId val="469252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554461"/>
      </c:catAx>
      <c:valAx>
        <c:axId val="1984554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2527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647700</xdr:colOff>
      <xdr:row>25</xdr:row>
      <xdr:rowOff>66675</xdr:rowOff>
    </xdr:from>
    <xdr:ext cx="5962650" cy="4314825"/>
    <xdr:graphicFrame>
      <xdr:nvGraphicFramePr>
        <xdr:cNvPr id="1" name="Chart 1" title="Burndown Sprin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20</xdr:row>
      <xdr:rowOff>180975</xdr:rowOff>
    </xdr:from>
    <xdr:ext cx="5715000" cy="42767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20</xdr:row>
      <xdr:rowOff>142875</xdr:rowOff>
    </xdr:from>
    <xdr:ext cx="5715000" cy="4257675"/>
    <xdr:graphicFrame>
      <xdr:nvGraphicFramePr>
        <xdr:cNvPr id="3" name="Chart 3" title="Burndown Sprin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17" displayName="Sprint_1" name="Sprint_1" id="2">
  <tableColumns count="8">
    <tableColumn name="ID" id="1"/>
    <tableColumn name="Historia / Tarea" id="2"/>
    <tableColumn name="Resp." id="3"/>
    <tableColumn name="SP" id="4"/>
    <tableColumn name="HH" id="5"/>
    <tableColumn name="Observaciones" id="6"/>
    <tableColumn name="Término Planificado" id="7"/>
    <tableColumn name="Término Real" id="8"/>
  </tableColumns>
  <tableStyleInfo name="Burndown Chart Sprint 1-style" showColumnStripes="0" showFirstColumn="1" showLastColumn="1" showRowStripes="1"/>
</table>
</file>

<file path=xl/tables/table2.xml><?xml version="1.0" encoding="utf-8"?>
<table xmlns="http://schemas.openxmlformats.org/spreadsheetml/2006/main" ref="A6:H18" displayName="Sprint_2" name="Sprint_2" id="1">
  <tableColumns count="8">
    <tableColumn name="ID" id="1"/>
    <tableColumn name="Historia / Tarea" id="2"/>
    <tableColumn name="Resp." id="3"/>
    <tableColumn name="SP" id="4"/>
    <tableColumn name="HH" id="5"/>
    <tableColumn name="Observaciones" id="6"/>
    <tableColumn name="Término Planificado" id="7"/>
    <tableColumn name="Término Real" id="8"/>
  </tableColumns>
  <tableStyleInfo name="Burndown Chart Sprint 2-style" showColumnStripes="0" showFirstColumn="1" showLastColumn="1" showRowStripes="1"/>
</table>
</file>

<file path=xl/tables/table3.xml><?xml version="1.0" encoding="utf-8"?>
<table xmlns="http://schemas.openxmlformats.org/spreadsheetml/2006/main" ref="A6:H17" displayName="Sprint_3" name="Sprint_3" id="3">
  <tableColumns count="8">
    <tableColumn name="ID" id="1"/>
    <tableColumn name="Historia / Tarea" id="2"/>
    <tableColumn name="Resp." id="3"/>
    <tableColumn name="SP" id="4"/>
    <tableColumn name="HH" id="5"/>
    <tableColumn name="Observaciones" id="6"/>
    <tableColumn name="Término Planificado" id="7"/>
    <tableColumn name="Término Real" id="8"/>
  </tableColumns>
  <tableStyleInfo name="Burndown Chart Sprin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7.13"/>
    <col customWidth="1" min="2" max="19" width="4.13"/>
  </cols>
  <sheetData>
    <row r="1" ht="63.75" customHeight="1">
      <c r="A1" s="1"/>
      <c r="B1" s="2">
        <v>46244.0</v>
      </c>
      <c r="C1" s="3">
        <v>46251.0</v>
      </c>
      <c r="D1" s="3">
        <v>46258.0</v>
      </c>
      <c r="E1" s="3">
        <v>46265.0</v>
      </c>
      <c r="F1" s="3">
        <v>46272.0</v>
      </c>
      <c r="G1" s="3">
        <v>46279.0</v>
      </c>
      <c r="H1" s="3">
        <v>46286.0</v>
      </c>
      <c r="I1" s="3">
        <v>46293.0</v>
      </c>
      <c r="J1" s="3">
        <v>46300.0</v>
      </c>
      <c r="K1" s="3">
        <v>46307.0</v>
      </c>
      <c r="L1" s="3">
        <v>46314.0</v>
      </c>
      <c r="M1" s="3">
        <v>46321.0</v>
      </c>
      <c r="N1" s="3">
        <v>46328.0</v>
      </c>
      <c r="O1" s="3">
        <v>46335.0</v>
      </c>
      <c r="P1" s="3">
        <v>46342.0</v>
      </c>
      <c r="Q1" s="3">
        <v>46349.0</v>
      </c>
      <c r="R1" s="3">
        <v>46356.0</v>
      </c>
      <c r="S1" s="3">
        <v>46363.0</v>
      </c>
    </row>
    <row r="2">
      <c r="A2" s="4" t="s">
        <v>0</v>
      </c>
      <c r="B2" s="5" t="s">
        <v>1</v>
      </c>
      <c r="E2" s="6"/>
      <c r="F2" s="7" t="s">
        <v>2</v>
      </c>
      <c r="P2" s="6"/>
      <c r="Q2" s="7" t="s">
        <v>3</v>
      </c>
    </row>
    <row r="3">
      <c r="A3" s="8"/>
      <c r="B3" s="9" t="s">
        <v>4</v>
      </c>
      <c r="C3" s="10"/>
      <c r="D3" s="11"/>
      <c r="E3" s="12" t="s">
        <v>5</v>
      </c>
      <c r="F3" s="10"/>
      <c r="G3" s="10"/>
      <c r="H3" s="10"/>
      <c r="I3" s="11"/>
      <c r="J3" s="13" t="s">
        <v>6</v>
      </c>
      <c r="K3" s="10"/>
      <c r="L3" s="10"/>
      <c r="M3" s="10"/>
      <c r="N3" s="14" t="s">
        <v>7</v>
      </c>
      <c r="O3" s="10"/>
      <c r="P3" s="10"/>
      <c r="Q3" s="10"/>
      <c r="R3" s="15" t="s">
        <v>8</v>
      </c>
      <c r="S3" s="11"/>
    </row>
    <row r="4">
      <c r="A4" s="16"/>
      <c r="B4" s="17" t="s">
        <v>9</v>
      </c>
      <c r="C4" s="17" t="s">
        <v>10</v>
      </c>
      <c r="D4" s="17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7" t="s">
        <v>16</v>
      </c>
      <c r="J4" s="17" t="s">
        <v>17</v>
      </c>
      <c r="K4" s="17" t="s">
        <v>18</v>
      </c>
      <c r="L4" s="17" t="s">
        <v>19</v>
      </c>
      <c r="M4" s="17" t="s">
        <v>20</v>
      </c>
      <c r="N4" s="17" t="s">
        <v>21</v>
      </c>
      <c r="O4" s="17" t="s">
        <v>22</v>
      </c>
      <c r="P4" s="17" t="s">
        <v>23</v>
      </c>
      <c r="Q4" s="17" t="s">
        <v>24</v>
      </c>
      <c r="R4" s="17" t="s">
        <v>25</v>
      </c>
      <c r="S4" s="17" t="s">
        <v>26</v>
      </c>
    </row>
    <row r="5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>
      <c r="A6" s="19" t="s">
        <v>27</v>
      </c>
      <c r="B6" s="20"/>
      <c r="C6" s="21"/>
      <c r="S6" s="6"/>
    </row>
    <row r="7">
      <c r="A7" s="19" t="s">
        <v>29</v>
      </c>
      <c r="B7" s="22"/>
      <c r="C7" s="24"/>
      <c r="S7" s="6"/>
    </row>
    <row r="8">
      <c r="A8" s="19" t="s">
        <v>28</v>
      </c>
      <c r="B8" s="22"/>
      <c r="C8" s="23"/>
      <c r="S8" s="6"/>
    </row>
    <row r="9">
      <c r="A9" s="19" t="s">
        <v>31</v>
      </c>
      <c r="B9" s="28"/>
      <c r="C9" s="23"/>
      <c r="S9" s="6"/>
    </row>
    <row r="10">
      <c r="A10" s="25" t="s">
        <v>32</v>
      </c>
      <c r="B10" s="29"/>
      <c r="C10" s="30"/>
      <c r="D10" s="11"/>
      <c r="E10" s="31"/>
      <c r="S10" s="6"/>
    </row>
    <row r="11">
      <c r="A11" s="25" t="s">
        <v>30</v>
      </c>
      <c r="B11" s="32"/>
      <c r="C11" s="30"/>
      <c r="D11" s="11"/>
      <c r="E11" s="31"/>
      <c r="S11" s="6"/>
    </row>
    <row r="12">
      <c r="A12" s="25" t="s">
        <v>33</v>
      </c>
      <c r="B12" s="33"/>
      <c r="C12" s="34"/>
      <c r="D12" s="11"/>
      <c r="E12" s="23"/>
      <c r="S12" s="6"/>
    </row>
    <row r="13">
      <c r="A13" s="25" t="s">
        <v>34</v>
      </c>
      <c r="B13" s="33"/>
      <c r="C13" s="34"/>
      <c r="D13" s="11"/>
      <c r="E13" s="23"/>
      <c r="S13" s="6"/>
    </row>
    <row r="14">
      <c r="A14" s="19" t="s">
        <v>35</v>
      </c>
      <c r="B14" s="36"/>
      <c r="C14" s="37"/>
      <c r="D14" s="22"/>
      <c r="E14" s="36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7"/>
    </row>
    <row r="15">
      <c r="A15" s="12" t="s">
        <v>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</row>
    <row r="16">
      <c r="A16" s="40" t="s">
        <v>37</v>
      </c>
      <c r="B16" s="41"/>
      <c r="C16" s="42"/>
      <c r="D16" s="43"/>
      <c r="E16" s="44"/>
      <c r="F16" s="23"/>
      <c r="S16" s="6"/>
    </row>
    <row r="17">
      <c r="A17" s="38" t="s">
        <v>38</v>
      </c>
      <c r="B17" s="23"/>
      <c r="D17" s="6"/>
      <c r="E17" s="46"/>
      <c r="F17" s="11"/>
      <c r="G17" s="23"/>
      <c r="S17" s="6"/>
    </row>
    <row r="18">
      <c r="A18" s="38" t="s">
        <v>36</v>
      </c>
      <c r="B18" s="23"/>
      <c r="D18" s="6"/>
      <c r="E18" s="46"/>
      <c r="F18" s="11"/>
      <c r="G18" s="23"/>
      <c r="S18" s="6"/>
    </row>
    <row r="19">
      <c r="A19" s="38" t="s">
        <v>39</v>
      </c>
      <c r="B19" s="23"/>
      <c r="D19" s="6"/>
      <c r="E19" s="46"/>
      <c r="F19" s="11"/>
      <c r="G19" s="23"/>
      <c r="S19" s="6"/>
    </row>
    <row r="20">
      <c r="A20" s="38" t="s">
        <v>40</v>
      </c>
      <c r="B20" s="23"/>
      <c r="D20" s="6"/>
      <c r="E20" s="46"/>
      <c r="F20" s="11"/>
      <c r="G20" s="23"/>
      <c r="S20" s="6"/>
    </row>
    <row r="21">
      <c r="A21" s="48" t="s">
        <v>41</v>
      </c>
      <c r="B21" s="23"/>
      <c r="E21" s="6"/>
      <c r="F21" s="45"/>
      <c r="G21" s="10"/>
      <c r="H21" s="11"/>
      <c r="I21" s="35"/>
      <c r="S21" s="6"/>
    </row>
    <row r="22">
      <c r="A22" s="38" t="s">
        <v>42</v>
      </c>
      <c r="B22" s="23"/>
      <c r="F22" s="6"/>
      <c r="G22" s="46"/>
      <c r="H22" s="10"/>
      <c r="I22" s="11"/>
      <c r="J22" s="35"/>
      <c r="S22" s="6"/>
    </row>
    <row r="23">
      <c r="A23" s="38" t="s">
        <v>43</v>
      </c>
      <c r="B23" s="23"/>
      <c r="F23" s="6"/>
      <c r="G23" s="46"/>
      <c r="H23" s="10"/>
      <c r="I23" s="11"/>
      <c r="J23" s="35"/>
      <c r="S23" s="6"/>
    </row>
    <row r="24">
      <c r="A24" s="38" t="s">
        <v>44</v>
      </c>
      <c r="B24" s="23"/>
      <c r="F24" s="6"/>
      <c r="G24" s="46"/>
      <c r="H24" s="10"/>
      <c r="I24" s="11"/>
      <c r="J24" s="35"/>
      <c r="S24" s="6"/>
    </row>
    <row r="25">
      <c r="A25" s="38" t="s">
        <v>45</v>
      </c>
      <c r="B25" s="23"/>
      <c r="F25" s="6"/>
      <c r="G25" s="46"/>
      <c r="H25" s="10"/>
      <c r="I25" s="11"/>
      <c r="J25" s="35"/>
      <c r="S25" s="6"/>
    </row>
    <row r="26">
      <c r="A26" s="38" t="s">
        <v>46</v>
      </c>
      <c r="B26" s="23"/>
      <c r="F26" s="6"/>
      <c r="G26" s="46"/>
      <c r="H26" s="10"/>
      <c r="I26" s="11"/>
      <c r="J26" s="35"/>
      <c r="S26" s="6"/>
    </row>
    <row r="27">
      <c r="A27" s="13" t="s">
        <v>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1"/>
    </row>
    <row r="28">
      <c r="A28" s="38" t="s">
        <v>47</v>
      </c>
      <c r="B28" s="41"/>
      <c r="C28" s="42"/>
      <c r="D28" s="42"/>
      <c r="E28" s="42"/>
      <c r="F28" s="42"/>
      <c r="G28" s="42"/>
      <c r="H28" s="42"/>
      <c r="I28" s="43"/>
      <c r="J28" s="50"/>
      <c r="K28" s="11"/>
      <c r="L28" s="41"/>
      <c r="M28" s="42"/>
      <c r="N28" s="42"/>
      <c r="O28" s="42"/>
      <c r="P28" s="42"/>
      <c r="Q28" s="42"/>
      <c r="R28" s="42"/>
      <c r="S28" s="42"/>
    </row>
    <row r="29">
      <c r="A29" s="38" t="s">
        <v>48</v>
      </c>
      <c r="B29" s="23"/>
      <c r="I29" s="6"/>
      <c r="J29" s="50"/>
      <c r="K29" s="11"/>
      <c r="L29" s="23"/>
    </row>
    <row r="30">
      <c r="A30" s="38" t="s">
        <v>49</v>
      </c>
      <c r="B30" s="23"/>
      <c r="I30" s="6"/>
      <c r="J30" s="50"/>
      <c r="K30" s="11"/>
      <c r="L30" s="23"/>
    </row>
    <row r="31">
      <c r="A31" s="48" t="s">
        <v>50</v>
      </c>
      <c r="B31" s="23"/>
      <c r="J31" s="6"/>
      <c r="K31" s="51"/>
      <c r="L31" s="10"/>
      <c r="M31" s="11"/>
      <c r="N31" s="23"/>
      <c r="S31" s="6"/>
    </row>
    <row r="32">
      <c r="A32" s="38" t="s">
        <v>51</v>
      </c>
      <c r="B32" s="23"/>
      <c r="K32" s="6"/>
      <c r="L32" s="50"/>
      <c r="M32" s="11"/>
      <c r="N32" s="23"/>
      <c r="S32" s="6"/>
    </row>
    <row r="33">
      <c r="A33" s="38" t="s">
        <v>52</v>
      </c>
      <c r="B33" s="23"/>
      <c r="K33" s="6"/>
      <c r="L33" s="50"/>
      <c r="M33" s="11"/>
      <c r="N33" s="23"/>
      <c r="S33" s="6"/>
    </row>
    <row r="34">
      <c r="A34" s="38" t="s">
        <v>53</v>
      </c>
      <c r="B34" s="23"/>
      <c r="K34" s="6"/>
      <c r="L34" s="51"/>
      <c r="M34" s="11"/>
      <c r="N34" s="23"/>
      <c r="S34" s="6"/>
    </row>
    <row r="35">
      <c r="A35" s="38" t="s">
        <v>55</v>
      </c>
      <c r="B35" s="23"/>
      <c r="L35" s="51"/>
      <c r="M35" s="11"/>
      <c r="N35" s="23"/>
      <c r="S35" s="6"/>
    </row>
    <row r="36">
      <c r="A36" s="52" t="s">
        <v>54</v>
      </c>
      <c r="B36" s="36"/>
      <c r="C36" s="39"/>
      <c r="D36" s="39"/>
      <c r="E36" s="39"/>
      <c r="F36" s="39"/>
      <c r="G36" s="39"/>
      <c r="H36" s="39"/>
      <c r="I36" s="39"/>
      <c r="J36" s="39"/>
      <c r="K36" s="39"/>
      <c r="L36" s="54"/>
    </row>
    <row r="37">
      <c r="A37" s="14" t="s">
        <v>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1"/>
    </row>
    <row r="38">
      <c r="A38" s="38" t="s">
        <v>56</v>
      </c>
      <c r="B38" s="23"/>
      <c r="M38" s="6"/>
      <c r="N38" s="55"/>
      <c r="O38" s="11"/>
      <c r="P38" s="41"/>
      <c r="Q38" s="42"/>
      <c r="R38" s="42"/>
      <c r="S38" s="42"/>
    </row>
    <row r="39">
      <c r="A39" s="38" t="s">
        <v>57</v>
      </c>
      <c r="B39" s="23"/>
      <c r="M39" s="6"/>
      <c r="N39" s="56"/>
      <c r="O39" s="11"/>
      <c r="P39" s="23"/>
    </row>
    <row r="40">
      <c r="A40" s="48" t="s">
        <v>58</v>
      </c>
      <c r="B40" s="23"/>
      <c r="M40" s="6"/>
      <c r="N40" s="55"/>
      <c r="O40" s="11"/>
      <c r="P40" s="23"/>
    </row>
    <row r="41">
      <c r="A41" s="38" t="s">
        <v>59</v>
      </c>
      <c r="B41" s="23"/>
      <c r="N41" s="55"/>
      <c r="O41" s="10"/>
      <c r="P41" s="10"/>
      <c r="Q41" s="11"/>
      <c r="R41" s="23"/>
      <c r="S41" s="6"/>
    </row>
    <row r="42">
      <c r="A42" s="38" t="s">
        <v>60</v>
      </c>
      <c r="B42" s="23"/>
      <c r="O42" s="6"/>
      <c r="P42" s="55"/>
      <c r="Q42" s="11"/>
      <c r="R42" s="23"/>
      <c r="S42" s="6"/>
    </row>
    <row r="43">
      <c r="A43" s="38" t="s">
        <v>61</v>
      </c>
      <c r="B43" s="23"/>
      <c r="O43" s="6"/>
      <c r="P43" s="55"/>
      <c r="Q43" s="11"/>
      <c r="R43" s="23"/>
      <c r="S43" s="6"/>
    </row>
    <row r="44">
      <c r="A44" s="38" t="s">
        <v>62</v>
      </c>
      <c r="B44" s="23"/>
      <c r="O44" s="6"/>
      <c r="P44" s="56"/>
      <c r="Q44" s="11"/>
      <c r="R44" s="23"/>
      <c r="S44" s="6"/>
    </row>
    <row r="45">
      <c r="A45" s="52" t="s">
        <v>63</v>
      </c>
      <c r="B45" s="23"/>
      <c r="O45" s="6"/>
      <c r="P45" s="54"/>
      <c r="Q45" s="23"/>
      <c r="S45" s="6"/>
    </row>
    <row r="46">
      <c r="A46" s="52" t="s">
        <v>64</v>
      </c>
      <c r="B46" s="57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7"/>
      <c r="S46" s="53"/>
    </row>
  </sheetData>
  <mergeCells count="109">
    <mergeCell ref="N3:Q3"/>
    <mergeCell ref="R3:S3"/>
    <mergeCell ref="A2:A4"/>
    <mergeCell ref="B2:E2"/>
    <mergeCell ref="F2:P2"/>
    <mergeCell ref="Q2:S2"/>
    <mergeCell ref="B3:D3"/>
    <mergeCell ref="E3:I3"/>
    <mergeCell ref="J3:M3"/>
    <mergeCell ref="A5:S5"/>
    <mergeCell ref="C6:S6"/>
    <mergeCell ref="C7:S7"/>
    <mergeCell ref="C8:S8"/>
    <mergeCell ref="C9:S9"/>
    <mergeCell ref="C10:D10"/>
    <mergeCell ref="E10:S10"/>
    <mergeCell ref="C11:D11"/>
    <mergeCell ref="E11:S11"/>
    <mergeCell ref="C12:D12"/>
    <mergeCell ref="E12:S12"/>
    <mergeCell ref="C13:D13"/>
    <mergeCell ref="E13:S13"/>
    <mergeCell ref="B14:C14"/>
    <mergeCell ref="E14:S14"/>
    <mergeCell ref="A15:S15"/>
    <mergeCell ref="B16:D16"/>
    <mergeCell ref="F16:S16"/>
    <mergeCell ref="B17:D17"/>
    <mergeCell ref="E17:F17"/>
    <mergeCell ref="G17:S17"/>
    <mergeCell ref="E20:F20"/>
    <mergeCell ref="G20:S20"/>
    <mergeCell ref="B18:D18"/>
    <mergeCell ref="E18:F18"/>
    <mergeCell ref="G18:S18"/>
    <mergeCell ref="B19:D19"/>
    <mergeCell ref="E19:F19"/>
    <mergeCell ref="G19:S19"/>
    <mergeCell ref="B20:D20"/>
    <mergeCell ref="L35:M35"/>
    <mergeCell ref="N35:S35"/>
    <mergeCell ref="B33:K33"/>
    <mergeCell ref="L33:M33"/>
    <mergeCell ref="N33:S33"/>
    <mergeCell ref="B34:K34"/>
    <mergeCell ref="L34:M34"/>
    <mergeCell ref="N34:S34"/>
    <mergeCell ref="B35:K35"/>
    <mergeCell ref="N39:O39"/>
    <mergeCell ref="P39:S39"/>
    <mergeCell ref="B36:K36"/>
    <mergeCell ref="M36:S36"/>
    <mergeCell ref="A37:S37"/>
    <mergeCell ref="B38:M38"/>
    <mergeCell ref="N38:O38"/>
    <mergeCell ref="P38:S38"/>
    <mergeCell ref="B39:M39"/>
    <mergeCell ref="P42:Q42"/>
    <mergeCell ref="R42:S42"/>
    <mergeCell ref="B40:M40"/>
    <mergeCell ref="N40:O40"/>
    <mergeCell ref="P40:S40"/>
    <mergeCell ref="B41:M41"/>
    <mergeCell ref="N41:Q41"/>
    <mergeCell ref="R41:S41"/>
    <mergeCell ref="B42:O42"/>
    <mergeCell ref="B45:O45"/>
    <mergeCell ref="B46:R46"/>
    <mergeCell ref="B43:O43"/>
    <mergeCell ref="P43:Q43"/>
    <mergeCell ref="R43:S43"/>
    <mergeCell ref="B44:O44"/>
    <mergeCell ref="P44:Q44"/>
    <mergeCell ref="R44:S44"/>
    <mergeCell ref="Q45:S45"/>
    <mergeCell ref="G23:I23"/>
    <mergeCell ref="J23:S23"/>
    <mergeCell ref="B21:E21"/>
    <mergeCell ref="F21:H21"/>
    <mergeCell ref="I21:S21"/>
    <mergeCell ref="B22:F22"/>
    <mergeCell ref="G22:I22"/>
    <mergeCell ref="J22:S22"/>
    <mergeCell ref="B23:F23"/>
    <mergeCell ref="G26:I26"/>
    <mergeCell ref="J26:S26"/>
    <mergeCell ref="B24:F24"/>
    <mergeCell ref="G24:I24"/>
    <mergeCell ref="J24:S24"/>
    <mergeCell ref="B25:F25"/>
    <mergeCell ref="G25:I25"/>
    <mergeCell ref="J25:S25"/>
    <mergeCell ref="B26:F26"/>
    <mergeCell ref="A27:S27"/>
    <mergeCell ref="B28:I28"/>
    <mergeCell ref="J28:K28"/>
    <mergeCell ref="L28:S28"/>
    <mergeCell ref="B29:I29"/>
    <mergeCell ref="J29:K29"/>
    <mergeCell ref="L29:S29"/>
    <mergeCell ref="L32:M32"/>
    <mergeCell ref="N32:S32"/>
    <mergeCell ref="B30:I30"/>
    <mergeCell ref="J30:K30"/>
    <mergeCell ref="L30:S30"/>
    <mergeCell ref="B31:J31"/>
    <mergeCell ref="K31:M31"/>
    <mergeCell ref="N31:S31"/>
    <mergeCell ref="B32:K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7.13"/>
    <col customWidth="1" min="2" max="19" width="4.13"/>
  </cols>
  <sheetData>
    <row r="1" ht="69.0" customHeight="1">
      <c r="A1" s="1"/>
      <c r="B1" s="2">
        <v>46244.0</v>
      </c>
      <c r="C1" s="3">
        <v>46251.0</v>
      </c>
      <c r="D1" s="3">
        <v>46258.0</v>
      </c>
      <c r="E1" s="3">
        <v>46265.0</v>
      </c>
      <c r="F1" s="3">
        <v>46272.0</v>
      </c>
      <c r="G1" s="3">
        <v>46279.0</v>
      </c>
      <c r="H1" s="3">
        <v>46286.0</v>
      </c>
      <c r="I1" s="3">
        <v>46293.0</v>
      </c>
      <c r="J1" s="3">
        <v>46300.0</v>
      </c>
      <c r="K1" s="3">
        <v>46307.0</v>
      </c>
      <c r="L1" s="3">
        <v>46314.0</v>
      </c>
      <c r="M1" s="3">
        <v>46321.0</v>
      </c>
      <c r="N1" s="3">
        <v>46328.0</v>
      </c>
      <c r="O1" s="3">
        <v>46335.0</v>
      </c>
      <c r="P1" s="3">
        <v>46342.0</v>
      </c>
      <c r="Q1" s="3">
        <v>46349.0</v>
      </c>
      <c r="R1" s="3">
        <v>46356.0</v>
      </c>
      <c r="S1" s="3">
        <v>46363.0</v>
      </c>
    </row>
    <row r="2">
      <c r="A2" s="4" t="s">
        <v>0</v>
      </c>
      <c r="B2" s="5" t="s">
        <v>1</v>
      </c>
      <c r="E2" s="6"/>
      <c r="F2" s="7" t="s">
        <v>2</v>
      </c>
      <c r="P2" s="6"/>
      <c r="Q2" s="7" t="s">
        <v>3</v>
      </c>
    </row>
    <row r="3">
      <c r="A3" s="8"/>
      <c r="B3" s="9" t="s">
        <v>4</v>
      </c>
      <c r="C3" s="10"/>
      <c r="D3" s="11"/>
      <c r="E3" s="12" t="s">
        <v>5</v>
      </c>
      <c r="F3" s="10"/>
      <c r="G3" s="10"/>
      <c r="H3" s="10"/>
      <c r="I3" s="11"/>
      <c r="J3" s="13" t="s">
        <v>6</v>
      </c>
      <c r="K3" s="10"/>
      <c r="L3" s="10"/>
      <c r="M3" s="10"/>
      <c r="N3" s="14" t="s">
        <v>7</v>
      </c>
      <c r="O3" s="10"/>
      <c r="P3" s="10"/>
      <c r="Q3" s="10"/>
      <c r="R3" s="15" t="s">
        <v>8</v>
      </c>
      <c r="S3" s="11"/>
    </row>
    <row r="4">
      <c r="A4" s="16"/>
      <c r="B4" s="17" t="s">
        <v>9</v>
      </c>
      <c r="C4" s="17" t="s">
        <v>10</v>
      </c>
      <c r="D4" s="17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7" t="s">
        <v>16</v>
      </c>
      <c r="J4" s="17" t="s">
        <v>17</v>
      </c>
      <c r="K4" s="17" t="s">
        <v>18</v>
      </c>
      <c r="L4" s="17" t="s">
        <v>19</v>
      </c>
      <c r="M4" s="17" t="s">
        <v>20</v>
      </c>
      <c r="N4" s="17" t="s">
        <v>21</v>
      </c>
      <c r="O4" s="17" t="s">
        <v>22</v>
      </c>
      <c r="P4" s="17" t="s">
        <v>23</v>
      </c>
      <c r="Q4" s="17" t="s">
        <v>24</v>
      </c>
      <c r="R4" s="17" t="s">
        <v>25</v>
      </c>
      <c r="S4" s="17" t="s">
        <v>26</v>
      </c>
    </row>
    <row r="5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>
      <c r="A6" s="19" t="s">
        <v>27</v>
      </c>
      <c r="B6" s="20"/>
      <c r="C6" s="21"/>
      <c r="S6" s="6"/>
    </row>
    <row r="7">
      <c r="A7" s="19" t="s">
        <v>28</v>
      </c>
      <c r="B7" s="22"/>
      <c r="C7" s="23"/>
      <c r="S7" s="6"/>
    </row>
    <row r="8">
      <c r="A8" s="25" t="s">
        <v>30</v>
      </c>
      <c r="B8" s="26"/>
      <c r="C8" s="27"/>
      <c r="S8" s="6"/>
    </row>
    <row r="9">
      <c r="A9" s="19" t="s">
        <v>29</v>
      </c>
      <c r="B9" s="22"/>
      <c r="C9" s="10"/>
      <c r="D9" s="10"/>
      <c r="E9" s="24"/>
      <c r="S9" s="6"/>
    </row>
    <row r="10">
      <c r="A10" s="25" t="s">
        <v>32</v>
      </c>
      <c r="B10" s="29"/>
      <c r="C10" s="30"/>
      <c r="D10" s="11"/>
      <c r="E10" s="31"/>
      <c r="S10" s="6"/>
    </row>
    <row r="11">
      <c r="A11" s="25" t="s">
        <v>33</v>
      </c>
      <c r="B11" s="33"/>
      <c r="C11" s="34"/>
      <c r="D11" s="11"/>
      <c r="E11" s="35"/>
      <c r="S11" s="6"/>
    </row>
    <row r="12">
      <c r="A12" s="38" t="s">
        <v>36</v>
      </c>
      <c r="B12" s="23"/>
      <c r="D12" s="26"/>
      <c r="E12" s="35"/>
      <c r="S12" s="6"/>
    </row>
    <row r="13">
      <c r="A13" s="12" t="s">
        <v>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/>
    </row>
    <row r="14">
      <c r="A14" s="40" t="s">
        <v>37</v>
      </c>
      <c r="B14" s="41"/>
      <c r="C14" s="42"/>
      <c r="D14" s="43"/>
      <c r="E14" s="44"/>
      <c r="F14" s="23"/>
      <c r="S14" s="6"/>
    </row>
    <row r="15">
      <c r="A15" s="25" t="s">
        <v>34</v>
      </c>
      <c r="B15" s="23"/>
      <c r="E15" s="45"/>
      <c r="F15" s="11"/>
      <c r="G15" s="47"/>
      <c r="S15" s="6"/>
    </row>
    <row r="16">
      <c r="A16" s="38" t="s">
        <v>38</v>
      </c>
      <c r="B16" s="23"/>
      <c r="D16" s="6"/>
      <c r="E16" s="46"/>
      <c r="F16" s="10"/>
      <c r="G16" s="11"/>
      <c r="H16" s="35"/>
      <c r="S16" s="6"/>
    </row>
    <row r="17">
      <c r="A17" s="38" t="s">
        <v>40</v>
      </c>
      <c r="B17" s="23"/>
      <c r="D17" s="6"/>
      <c r="E17" s="46"/>
      <c r="F17" s="10"/>
      <c r="G17" s="11"/>
      <c r="H17" s="35"/>
      <c r="S17" s="6"/>
    </row>
    <row r="18">
      <c r="A18" s="48" t="s">
        <v>41</v>
      </c>
      <c r="B18" s="23"/>
      <c r="E18" s="6"/>
      <c r="F18" s="45"/>
      <c r="G18" s="10"/>
      <c r="H18" s="11"/>
      <c r="I18" s="35"/>
      <c r="S18" s="6"/>
    </row>
    <row r="19">
      <c r="A19" s="38" t="s">
        <v>42</v>
      </c>
      <c r="B19" s="23"/>
      <c r="F19" s="6"/>
      <c r="G19" s="46"/>
      <c r="H19" s="11"/>
      <c r="I19" s="35"/>
      <c r="S19" s="6"/>
    </row>
    <row r="20">
      <c r="A20" s="38" t="s">
        <v>43</v>
      </c>
      <c r="B20" s="23"/>
      <c r="F20" s="6"/>
      <c r="G20" s="46"/>
      <c r="H20" s="11"/>
      <c r="I20" s="35"/>
      <c r="S20" s="6"/>
    </row>
    <row r="21">
      <c r="A21" s="38" t="s">
        <v>44</v>
      </c>
      <c r="B21" s="23"/>
      <c r="F21" s="6"/>
      <c r="G21" s="45"/>
      <c r="H21" s="10"/>
      <c r="I21" s="11"/>
      <c r="J21" s="35"/>
      <c r="S21" s="6"/>
    </row>
    <row r="22">
      <c r="A22" s="19" t="s">
        <v>31</v>
      </c>
      <c r="B22" s="23"/>
      <c r="G22" s="45"/>
      <c r="H22" s="10"/>
      <c r="I22" s="11"/>
      <c r="J22" s="35"/>
      <c r="S22" s="6"/>
    </row>
    <row r="23">
      <c r="A23" s="19" t="s">
        <v>35</v>
      </c>
      <c r="B23" s="36"/>
      <c r="C23" s="39"/>
      <c r="D23" s="39"/>
      <c r="E23" s="39"/>
      <c r="F23" s="37"/>
      <c r="G23" s="45"/>
      <c r="H23" s="10"/>
      <c r="I23" s="11"/>
      <c r="J23" s="49"/>
      <c r="K23" s="39"/>
      <c r="L23" s="39"/>
      <c r="M23" s="39"/>
      <c r="N23" s="39"/>
      <c r="O23" s="39"/>
      <c r="P23" s="39"/>
      <c r="Q23" s="39"/>
      <c r="R23" s="39"/>
      <c r="S23" s="37"/>
    </row>
    <row r="24">
      <c r="A24" s="13" t="s">
        <v>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  <row r="25">
      <c r="A25" s="38" t="s">
        <v>45</v>
      </c>
      <c r="B25" s="23"/>
      <c r="I25" s="6"/>
      <c r="J25" s="50"/>
      <c r="K25" s="10"/>
      <c r="L25" s="41"/>
      <c r="M25" s="42"/>
      <c r="N25" s="42"/>
      <c r="O25" s="42"/>
      <c r="P25" s="42"/>
      <c r="Q25" s="42"/>
      <c r="R25" s="42"/>
      <c r="S25" s="43"/>
    </row>
    <row r="26">
      <c r="A26" s="38" t="s">
        <v>46</v>
      </c>
      <c r="B26" s="23"/>
      <c r="I26" s="6"/>
      <c r="J26" s="50"/>
      <c r="K26" s="10"/>
      <c r="L26" s="23"/>
      <c r="S26" s="6"/>
    </row>
    <row r="27">
      <c r="A27" s="38" t="s">
        <v>47</v>
      </c>
      <c r="B27" s="23"/>
      <c r="I27" s="6"/>
      <c r="J27" s="50"/>
      <c r="K27" s="11"/>
      <c r="L27" s="23"/>
      <c r="S27" s="6"/>
    </row>
    <row r="28">
      <c r="A28" s="38" t="s">
        <v>48</v>
      </c>
      <c r="B28" s="23"/>
      <c r="I28" s="6"/>
      <c r="J28" s="50"/>
      <c r="K28" s="11"/>
      <c r="L28" s="23"/>
      <c r="S28" s="6"/>
    </row>
    <row r="29">
      <c r="A29" s="38" t="s">
        <v>49</v>
      </c>
      <c r="B29" s="23"/>
      <c r="I29" s="6"/>
      <c r="J29" s="50"/>
      <c r="K29" s="11"/>
      <c r="L29" s="23"/>
      <c r="S29" s="6"/>
    </row>
    <row r="30">
      <c r="A30" s="48" t="s">
        <v>50</v>
      </c>
      <c r="B30" s="23"/>
      <c r="J30" s="6"/>
      <c r="K30" s="51"/>
      <c r="L30" s="10"/>
      <c r="M30" s="11"/>
      <c r="N30" s="23"/>
      <c r="S30" s="6"/>
    </row>
    <row r="31">
      <c r="A31" s="52" t="s">
        <v>54</v>
      </c>
      <c r="B31" s="23"/>
      <c r="K31" s="6"/>
      <c r="L31" s="53"/>
      <c r="M31" s="23"/>
      <c r="S31" s="6"/>
    </row>
    <row r="32">
      <c r="A32" s="38" t="s">
        <v>51</v>
      </c>
      <c r="B32" s="23"/>
      <c r="K32" s="6"/>
      <c r="L32" s="50"/>
      <c r="M32" s="11"/>
      <c r="N32" s="23"/>
      <c r="S32" s="6"/>
    </row>
    <row r="33">
      <c r="A33" s="38" t="s">
        <v>52</v>
      </c>
      <c r="B33" s="23"/>
      <c r="K33" s="6"/>
      <c r="L33" s="50"/>
      <c r="M33" s="11"/>
      <c r="N33" s="23"/>
      <c r="S33" s="6"/>
    </row>
    <row r="34">
      <c r="A34" s="38" t="s">
        <v>53</v>
      </c>
      <c r="B34" s="23"/>
      <c r="K34" s="6"/>
      <c r="L34" s="51"/>
      <c r="M34" s="11"/>
      <c r="N34" s="23"/>
      <c r="S34" s="6"/>
    </row>
    <row r="35">
      <c r="A35" s="38" t="s">
        <v>55</v>
      </c>
      <c r="B35" s="23"/>
      <c r="L35" s="51"/>
      <c r="M35" s="11"/>
      <c r="N35" s="23"/>
      <c r="S35" s="6"/>
    </row>
    <row r="36">
      <c r="A36" s="14" t="s">
        <v>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1"/>
    </row>
    <row r="37">
      <c r="A37" s="38" t="s">
        <v>56</v>
      </c>
      <c r="B37" s="23"/>
      <c r="M37" s="6"/>
      <c r="N37" s="55"/>
      <c r="O37" s="11"/>
      <c r="P37" s="41"/>
      <c r="Q37" s="42"/>
      <c r="R37" s="42"/>
      <c r="S37" s="43"/>
    </row>
    <row r="38">
      <c r="A38" s="38" t="s">
        <v>57</v>
      </c>
      <c r="B38" s="23"/>
      <c r="M38" s="6"/>
      <c r="N38" s="56"/>
      <c r="O38" s="11"/>
      <c r="P38" s="23"/>
      <c r="S38" s="6"/>
    </row>
    <row r="39">
      <c r="A39" s="48" t="s">
        <v>58</v>
      </c>
      <c r="B39" s="23"/>
      <c r="M39" s="6"/>
      <c r="N39" s="55"/>
      <c r="O39" s="11"/>
      <c r="P39" s="23"/>
      <c r="S39" s="6"/>
    </row>
    <row r="40">
      <c r="A40" s="38" t="s">
        <v>59</v>
      </c>
      <c r="B40" s="23"/>
      <c r="N40" s="55"/>
      <c r="O40" s="10"/>
      <c r="P40" s="10"/>
      <c r="Q40" s="11"/>
      <c r="R40" s="23"/>
      <c r="S40" s="6"/>
    </row>
    <row r="41">
      <c r="A41" s="38" t="s">
        <v>60</v>
      </c>
      <c r="B41" s="23"/>
      <c r="O41" s="6"/>
      <c r="P41" s="55"/>
      <c r="Q41" s="11"/>
      <c r="R41" s="23"/>
      <c r="S41" s="6"/>
    </row>
    <row r="42">
      <c r="A42" s="38" t="s">
        <v>61</v>
      </c>
      <c r="B42" s="23"/>
      <c r="O42" s="6"/>
      <c r="P42" s="55"/>
      <c r="Q42" s="11"/>
      <c r="R42" s="23"/>
      <c r="S42" s="6"/>
    </row>
    <row r="43">
      <c r="A43" s="38" t="s">
        <v>62</v>
      </c>
      <c r="B43" s="23"/>
      <c r="O43" s="6"/>
      <c r="P43" s="56"/>
      <c r="Q43" s="11"/>
      <c r="R43" s="23"/>
      <c r="S43" s="6"/>
    </row>
    <row r="44">
      <c r="A44" s="52" t="s">
        <v>63</v>
      </c>
      <c r="B44" s="23"/>
      <c r="O44" s="6"/>
      <c r="P44" s="54"/>
      <c r="Q44" s="23"/>
      <c r="S44" s="6"/>
    </row>
    <row r="45">
      <c r="A45" s="52" t="s">
        <v>64</v>
      </c>
      <c r="B45" s="57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7"/>
      <c r="S45" s="53"/>
    </row>
  </sheetData>
  <mergeCells count="109">
    <mergeCell ref="B16:D16"/>
    <mergeCell ref="B17:D17"/>
    <mergeCell ref="E17:G17"/>
    <mergeCell ref="B18:E18"/>
    <mergeCell ref="F18:H18"/>
    <mergeCell ref="B19:F19"/>
    <mergeCell ref="G19:H19"/>
    <mergeCell ref="B20:F20"/>
    <mergeCell ref="G20:H20"/>
    <mergeCell ref="B28:I28"/>
    <mergeCell ref="B29:I29"/>
    <mergeCell ref="B30:J30"/>
    <mergeCell ref="B31:K31"/>
    <mergeCell ref="B32:K32"/>
    <mergeCell ref="B33:K33"/>
    <mergeCell ref="B34:K34"/>
    <mergeCell ref="B35:K35"/>
    <mergeCell ref="B22:F22"/>
    <mergeCell ref="G22:I22"/>
    <mergeCell ref="B23:F23"/>
    <mergeCell ref="G23:I23"/>
    <mergeCell ref="B25:I25"/>
    <mergeCell ref="B26:I26"/>
    <mergeCell ref="B27:I27"/>
    <mergeCell ref="J25:K25"/>
    <mergeCell ref="J26:K26"/>
    <mergeCell ref="L26:S26"/>
    <mergeCell ref="J27:K27"/>
    <mergeCell ref="L27:S27"/>
    <mergeCell ref="J28:K28"/>
    <mergeCell ref="L28:S28"/>
    <mergeCell ref="J29:K29"/>
    <mergeCell ref="L29:S29"/>
    <mergeCell ref="K30:M30"/>
    <mergeCell ref="N30:S30"/>
    <mergeCell ref="M31:S31"/>
    <mergeCell ref="L32:M32"/>
    <mergeCell ref="N32:S32"/>
    <mergeCell ref="L33:M33"/>
    <mergeCell ref="N33:S33"/>
    <mergeCell ref="L34:M34"/>
    <mergeCell ref="N34:S34"/>
    <mergeCell ref="L35:M35"/>
    <mergeCell ref="N35:S35"/>
    <mergeCell ref="A36:S36"/>
    <mergeCell ref="N39:O39"/>
    <mergeCell ref="P39:S39"/>
    <mergeCell ref="B37:M37"/>
    <mergeCell ref="N37:O37"/>
    <mergeCell ref="P37:S37"/>
    <mergeCell ref="B38:M38"/>
    <mergeCell ref="N38:O38"/>
    <mergeCell ref="P38:S38"/>
    <mergeCell ref="B39:M39"/>
    <mergeCell ref="P42:Q42"/>
    <mergeCell ref="R42:S42"/>
    <mergeCell ref="B43:O43"/>
    <mergeCell ref="P43:Q43"/>
    <mergeCell ref="R43:S43"/>
    <mergeCell ref="B44:O44"/>
    <mergeCell ref="Q44:S44"/>
    <mergeCell ref="B45:R45"/>
    <mergeCell ref="B40:M40"/>
    <mergeCell ref="N40:Q40"/>
    <mergeCell ref="R40:S40"/>
    <mergeCell ref="B41:O41"/>
    <mergeCell ref="P41:Q41"/>
    <mergeCell ref="R41:S41"/>
    <mergeCell ref="B42:O42"/>
    <mergeCell ref="N3:Q3"/>
    <mergeCell ref="R3:S3"/>
    <mergeCell ref="A2:A4"/>
    <mergeCell ref="B2:E2"/>
    <mergeCell ref="F2:P2"/>
    <mergeCell ref="Q2:S2"/>
    <mergeCell ref="B3:D3"/>
    <mergeCell ref="E3:I3"/>
    <mergeCell ref="J3:M3"/>
    <mergeCell ref="A5:S5"/>
    <mergeCell ref="C6:S6"/>
    <mergeCell ref="C7:S7"/>
    <mergeCell ref="C8:S8"/>
    <mergeCell ref="B9:D9"/>
    <mergeCell ref="E9:S9"/>
    <mergeCell ref="E10:S10"/>
    <mergeCell ref="C10:D10"/>
    <mergeCell ref="C11:D11"/>
    <mergeCell ref="B12:C12"/>
    <mergeCell ref="B14:D14"/>
    <mergeCell ref="B15:D15"/>
    <mergeCell ref="E15:F15"/>
    <mergeCell ref="E16:G16"/>
    <mergeCell ref="I18:S18"/>
    <mergeCell ref="I19:S19"/>
    <mergeCell ref="I20:S20"/>
    <mergeCell ref="E11:S11"/>
    <mergeCell ref="E12:S12"/>
    <mergeCell ref="A13:S13"/>
    <mergeCell ref="F14:S14"/>
    <mergeCell ref="G15:S15"/>
    <mergeCell ref="H16:S16"/>
    <mergeCell ref="H17:S17"/>
    <mergeCell ref="B21:F21"/>
    <mergeCell ref="G21:I21"/>
    <mergeCell ref="J21:S21"/>
    <mergeCell ref="J22:S22"/>
    <mergeCell ref="J23:S23"/>
    <mergeCell ref="A24:S24"/>
    <mergeCell ref="L25:S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0"/>
    <col customWidth="1" min="6" max="7" width="20.38"/>
    <col customWidth="1" min="8" max="8" width="17.25"/>
  </cols>
  <sheetData>
    <row r="5" ht="1.5" customHeight="1"/>
    <row r="6" ht="33.75" customHeight="1">
      <c r="A6" s="58" t="s">
        <v>65</v>
      </c>
      <c r="B6" s="60" t="s">
        <v>66</v>
      </c>
      <c r="C6" s="58" t="s">
        <v>67</v>
      </c>
      <c r="D6" s="62" t="s">
        <v>68</v>
      </c>
      <c r="E6" s="62" t="s">
        <v>69</v>
      </c>
      <c r="F6" s="64" t="s">
        <v>70</v>
      </c>
      <c r="G6" s="65" t="s">
        <v>71</v>
      </c>
      <c r="H6" s="65" t="s">
        <v>72</v>
      </c>
    </row>
    <row r="7" ht="22.5" customHeight="1">
      <c r="A7" s="66" t="s">
        <v>73</v>
      </c>
      <c r="B7" s="67" t="s">
        <v>74</v>
      </c>
      <c r="C7" s="69" t="s">
        <v>76</v>
      </c>
      <c r="D7" s="71">
        <v>5.0</v>
      </c>
      <c r="E7" s="71">
        <v>24.0</v>
      </c>
      <c r="F7" s="74" t="s">
        <v>78</v>
      </c>
      <c r="G7" s="75" t="s">
        <v>11</v>
      </c>
      <c r="H7" s="75" t="s">
        <v>11</v>
      </c>
    </row>
    <row r="8" ht="22.5" customHeight="1">
      <c r="A8" s="77" t="s">
        <v>80</v>
      </c>
      <c r="B8" s="78" t="s">
        <v>81</v>
      </c>
      <c r="C8" s="79" t="s">
        <v>82</v>
      </c>
      <c r="D8" s="80">
        <v>5.0</v>
      </c>
      <c r="E8" s="80">
        <v>24.0</v>
      </c>
      <c r="F8" s="82"/>
      <c r="G8" s="82" t="s">
        <v>9</v>
      </c>
      <c r="H8" s="82" t="s">
        <v>11</v>
      </c>
    </row>
    <row r="9" ht="22.5" customHeight="1">
      <c r="A9" s="68" t="s">
        <v>85</v>
      </c>
      <c r="B9" s="70" t="s">
        <v>86</v>
      </c>
      <c r="C9" s="72" t="s">
        <v>76</v>
      </c>
      <c r="D9" s="73">
        <v>3.0</v>
      </c>
      <c r="E9" s="73">
        <v>16.0</v>
      </c>
      <c r="F9" s="75"/>
      <c r="G9" s="75" t="s">
        <v>9</v>
      </c>
      <c r="H9" s="75" t="s">
        <v>9</v>
      </c>
    </row>
    <row r="10" ht="22.5" customHeight="1">
      <c r="A10" s="77" t="s">
        <v>89</v>
      </c>
      <c r="B10" s="78" t="s">
        <v>90</v>
      </c>
      <c r="C10" s="81" t="s">
        <v>76</v>
      </c>
      <c r="D10" s="80">
        <v>5.0</v>
      </c>
      <c r="E10" s="80">
        <v>24.0</v>
      </c>
      <c r="F10" s="82"/>
      <c r="G10" s="82" t="s">
        <v>11</v>
      </c>
      <c r="H10" s="82" t="s">
        <v>11</v>
      </c>
    </row>
    <row r="11" ht="22.5" customHeight="1">
      <c r="A11" s="68" t="s">
        <v>93</v>
      </c>
      <c r="B11" s="70" t="s">
        <v>94</v>
      </c>
      <c r="C11" s="72" t="s">
        <v>76</v>
      </c>
      <c r="D11" s="73">
        <v>5.0</v>
      </c>
      <c r="E11" s="73">
        <v>24.0</v>
      </c>
      <c r="F11" s="75"/>
      <c r="G11" s="75" t="s">
        <v>11</v>
      </c>
      <c r="H11" s="75" t="s">
        <v>9</v>
      </c>
    </row>
    <row r="12" ht="22.5" customHeight="1">
      <c r="A12" s="77" t="s">
        <v>97</v>
      </c>
      <c r="B12" s="78" t="s">
        <v>98</v>
      </c>
      <c r="C12" s="81" t="s">
        <v>99</v>
      </c>
      <c r="D12" s="80">
        <v>8.0</v>
      </c>
      <c r="E12" s="80">
        <v>40.0</v>
      </c>
      <c r="F12" s="82"/>
      <c r="G12" s="82" t="s">
        <v>11</v>
      </c>
      <c r="H12" s="82" t="s">
        <v>11</v>
      </c>
    </row>
    <row r="13" ht="22.5" customHeight="1">
      <c r="A13" s="68" t="s">
        <v>101</v>
      </c>
      <c r="B13" s="70" t="s">
        <v>103</v>
      </c>
      <c r="C13" s="72" t="s">
        <v>99</v>
      </c>
      <c r="D13" s="73">
        <v>5.0</v>
      </c>
      <c r="E13" s="73">
        <v>24.0</v>
      </c>
      <c r="F13" s="75"/>
      <c r="G13" s="75" t="s">
        <v>9</v>
      </c>
      <c r="H13" s="75" t="s">
        <v>11</v>
      </c>
    </row>
    <row r="14" ht="22.5" customHeight="1">
      <c r="A14" s="77" t="s">
        <v>83</v>
      </c>
      <c r="B14" s="78" t="s">
        <v>84</v>
      </c>
      <c r="C14" s="81" t="s">
        <v>82</v>
      </c>
      <c r="D14" s="80">
        <v>8.0</v>
      </c>
      <c r="E14" s="80">
        <v>40.0</v>
      </c>
      <c r="F14" s="82" t="s">
        <v>106</v>
      </c>
      <c r="G14" s="82" t="s">
        <v>9</v>
      </c>
      <c r="H14" s="82" t="s">
        <v>107</v>
      </c>
    </row>
    <row r="15" ht="22.5" customHeight="1">
      <c r="A15" s="68" t="s">
        <v>87</v>
      </c>
      <c r="B15" s="70" t="s">
        <v>88</v>
      </c>
      <c r="C15" s="72" t="s">
        <v>82</v>
      </c>
      <c r="D15" s="73">
        <v>8.0</v>
      </c>
      <c r="E15" s="73">
        <v>40.0</v>
      </c>
      <c r="F15" s="82" t="s">
        <v>106</v>
      </c>
      <c r="G15" s="75" t="s">
        <v>11</v>
      </c>
      <c r="H15" s="75" t="s">
        <v>107</v>
      </c>
    </row>
    <row r="16" ht="22.5" customHeight="1">
      <c r="A16" s="68" t="s">
        <v>75</v>
      </c>
      <c r="B16" s="70" t="s">
        <v>77</v>
      </c>
      <c r="C16" s="72" t="s">
        <v>76</v>
      </c>
      <c r="D16" s="73">
        <v>5.0</v>
      </c>
      <c r="E16" s="73">
        <v>24.0</v>
      </c>
      <c r="F16" s="82" t="s">
        <v>106</v>
      </c>
      <c r="G16" s="75" t="s">
        <v>11</v>
      </c>
      <c r="H16" s="75" t="s">
        <v>107</v>
      </c>
    </row>
    <row r="17" ht="22.5" customHeight="1">
      <c r="A17" s="85" t="s">
        <v>112</v>
      </c>
      <c r="B17" s="86"/>
      <c r="C17" s="87"/>
      <c r="D17" s="92">
        <f t="shared" ref="D17:E17" si="1">SUM(D7:D16)</f>
        <v>57</v>
      </c>
      <c r="E17" s="92">
        <f t="shared" si="1"/>
        <v>280</v>
      </c>
      <c r="F17" s="95"/>
      <c r="G17" s="95"/>
      <c r="H17" s="97"/>
    </row>
    <row r="19">
      <c r="A19" s="100" t="s">
        <v>118</v>
      </c>
      <c r="B19" s="10"/>
      <c r="C19" s="10"/>
      <c r="D19" s="10"/>
      <c r="E19" s="10"/>
      <c r="F19" s="10"/>
      <c r="G19" s="10"/>
      <c r="H19" s="11"/>
    </row>
    <row r="21">
      <c r="A21" s="100" t="s">
        <v>119</v>
      </c>
      <c r="B21" s="10"/>
      <c r="C21" s="11"/>
      <c r="E21" s="100" t="s">
        <v>120</v>
      </c>
      <c r="F21" s="10"/>
      <c r="G21" s="11"/>
    </row>
    <row r="22">
      <c r="A22" s="102" t="s">
        <v>121</v>
      </c>
      <c r="B22" s="102" t="s">
        <v>122</v>
      </c>
      <c r="C22" s="103" t="s">
        <v>123</v>
      </c>
      <c r="E22" s="102" t="s">
        <v>121</v>
      </c>
      <c r="F22" s="102" t="s">
        <v>122</v>
      </c>
      <c r="G22" s="103" t="s">
        <v>123</v>
      </c>
    </row>
    <row r="23">
      <c r="A23" s="104">
        <v>46237.0</v>
      </c>
      <c r="B23" s="105">
        <v>36.0</v>
      </c>
      <c r="C23" s="106">
        <v>0.0</v>
      </c>
      <c r="E23" s="104">
        <v>46237.0</v>
      </c>
      <c r="F23" s="106">
        <v>36.0</v>
      </c>
      <c r="G23" s="106">
        <v>0.0</v>
      </c>
    </row>
    <row r="24">
      <c r="A24" s="104">
        <v>46238.0</v>
      </c>
      <c r="B24" s="105">
        <f t="shared" ref="B24:B49" si="2">B23-(36/26)</f>
        <v>34.61538462</v>
      </c>
      <c r="C24" s="105">
        <f t="shared" ref="C24:C49" si="3">$B$23-B24</f>
        <v>1.384615385</v>
      </c>
      <c r="E24" s="104">
        <v>46238.0</v>
      </c>
      <c r="F24" s="106">
        <v>36.0</v>
      </c>
      <c r="G24" s="106">
        <v>0.0</v>
      </c>
    </row>
    <row r="25">
      <c r="A25" s="104">
        <v>46239.0</v>
      </c>
      <c r="B25" s="105">
        <f t="shared" si="2"/>
        <v>33.23076923</v>
      </c>
      <c r="C25" s="105">
        <f t="shared" si="3"/>
        <v>2.769230769</v>
      </c>
      <c r="E25" s="104">
        <v>46239.0</v>
      </c>
      <c r="F25" s="106">
        <v>36.0</v>
      </c>
      <c r="G25" s="106">
        <v>0.0</v>
      </c>
    </row>
    <row r="26">
      <c r="A26" s="104">
        <v>46240.0</v>
      </c>
      <c r="B26" s="105">
        <f t="shared" si="2"/>
        <v>31.84615385</v>
      </c>
      <c r="C26" s="105">
        <f t="shared" si="3"/>
        <v>4.153846154</v>
      </c>
      <c r="E26" s="104">
        <v>46240.0</v>
      </c>
      <c r="F26" s="106">
        <v>36.0</v>
      </c>
      <c r="G26" s="106">
        <v>0.0</v>
      </c>
    </row>
    <row r="27">
      <c r="A27" s="104">
        <v>46241.0</v>
      </c>
      <c r="B27" s="105">
        <f t="shared" si="2"/>
        <v>30.46153846</v>
      </c>
      <c r="C27" s="105">
        <f t="shared" si="3"/>
        <v>5.538461538</v>
      </c>
      <c r="E27" s="104">
        <v>46241.0</v>
      </c>
      <c r="F27" s="106">
        <f t="shared" ref="F27:F43" si="4">36-8</f>
        <v>28</v>
      </c>
      <c r="G27" s="110">
        <f t="shared" ref="G27:G43" si="5">SUM($D$9+$D$11)</f>
        <v>8</v>
      </c>
    </row>
    <row r="28">
      <c r="A28" s="104">
        <v>46242.0</v>
      </c>
      <c r="B28" s="105">
        <f t="shared" si="2"/>
        <v>29.07692308</v>
      </c>
      <c r="C28" s="105">
        <f t="shared" si="3"/>
        <v>6.923076923</v>
      </c>
      <c r="E28" s="104">
        <v>46242.0</v>
      </c>
      <c r="F28" s="106">
        <f t="shared" si="4"/>
        <v>28</v>
      </c>
      <c r="G28" s="110">
        <f t="shared" si="5"/>
        <v>8</v>
      </c>
    </row>
    <row r="29">
      <c r="A29" s="104">
        <v>46243.0</v>
      </c>
      <c r="B29" s="105">
        <f t="shared" si="2"/>
        <v>27.69230769</v>
      </c>
      <c r="C29" s="105">
        <f t="shared" si="3"/>
        <v>8.307692308</v>
      </c>
      <c r="E29" s="104">
        <v>46243.0</v>
      </c>
      <c r="F29" s="106">
        <f t="shared" si="4"/>
        <v>28</v>
      </c>
      <c r="G29" s="110">
        <f t="shared" si="5"/>
        <v>8</v>
      </c>
    </row>
    <row r="30">
      <c r="A30" s="104">
        <v>46244.0</v>
      </c>
      <c r="B30" s="105">
        <f t="shared" si="2"/>
        <v>26.30769231</v>
      </c>
      <c r="C30" s="105">
        <f t="shared" si="3"/>
        <v>9.692307692</v>
      </c>
      <c r="E30" s="104">
        <v>46244.0</v>
      </c>
      <c r="F30" s="106">
        <f t="shared" si="4"/>
        <v>28</v>
      </c>
      <c r="G30" s="110">
        <f t="shared" si="5"/>
        <v>8</v>
      </c>
    </row>
    <row r="31">
      <c r="A31" s="104">
        <v>46245.0</v>
      </c>
      <c r="B31" s="105">
        <f t="shared" si="2"/>
        <v>24.92307692</v>
      </c>
      <c r="C31" s="105">
        <f t="shared" si="3"/>
        <v>11.07692308</v>
      </c>
      <c r="E31" s="104">
        <v>46245.0</v>
      </c>
      <c r="F31" s="106">
        <f t="shared" si="4"/>
        <v>28</v>
      </c>
      <c r="G31" s="110">
        <f t="shared" si="5"/>
        <v>8</v>
      </c>
    </row>
    <row r="32">
      <c r="A32" s="104">
        <v>46246.0</v>
      </c>
      <c r="B32" s="105">
        <f t="shared" si="2"/>
        <v>23.53846154</v>
      </c>
      <c r="C32" s="105">
        <f t="shared" si="3"/>
        <v>12.46153846</v>
      </c>
      <c r="E32" s="104">
        <v>46246.0</v>
      </c>
      <c r="F32" s="106">
        <f t="shared" si="4"/>
        <v>28</v>
      </c>
      <c r="G32" s="110">
        <f t="shared" si="5"/>
        <v>8</v>
      </c>
    </row>
    <row r="33">
      <c r="A33" s="104">
        <v>46247.0</v>
      </c>
      <c r="B33" s="105">
        <f t="shared" si="2"/>
        <v>22.15384615</v>
      </c>
      <c r="C33" s="105">
        <f t="shared" si="3"/>
        <v>13.84615385</v>
      </c>
      <c r="E33" s="104">
        <v>46247.0</v>
      </c>
      <c r="F33" s="106">
        <f t="shared" si="4"/>
        <v>28</v>
      </c>
      <c r="G33" s="110">
        <f t="shared" si="5"/>
        <v>8</v>
      </c>
    </row>
    <row r="34">
      <c r="A34" s="104">
        <v>46248.0</v>
      </c>
      <c r="B34" s="105">
        <f t="shared" si="2"/>
        <v>20.76923077</v>
      </c>
      <c r="C34" s="105">
        <f t="shared" si="3"/>
        <v>15.23076923</v>
      </c>
      <c r="E34" s="104">
        <v>46248.0</v>
      </c>
      <c r="F34" s="106">
        <f t="shared" si="4"/>
        <v>28</v>
      </c>
      <c r="G34" s="110">
        <f t="shared" si="5"/>
        <v>8</v>
      </c>
    </row>
    <row r="35">
      <c r="A35" s="104">
        <v>46249.0</v>
      </c>
      <c r="B35" s="105">
        <f t="shared" si="2"/>
        <v>19.38461538</v>
      </c>
      <c r="C35" s="105">
        <f t="shared" si="3"/>
        <v>16.61538462</v>
      </c>
      <c r="E35" s="104">
        <v>46249.0</v>
      </c>
      <c r="F35" s="106">
        <f t="shared" si="4"/>
        <v>28</v>
      </c>
      <c r="G35" s="110">
        <f t="shared" si="5"/>
        <v>8</v>
      </c>
    </row>
    <row r="36">
      <c r="A36" s="104">
        <v>46250.0</v>
      </c>
      <c r="B36" s="105">
        <f t="shared" si="2"/>
        <v>18</v>
      </c>
      <c r="C36" s="105">
        <f t="shared" si="3"/>
        <v>18</v>
      </c>
      <c r="E36" s="104">
        <v>46250.0</v>
      </c>
      <c r="F36" s="106">
        <f t="shared" si="4"/>
        <v>28</v>
      </c>
      <c r="G36" s="110">
        <f t="shared" si="5"/>
        <v>8</v>
      </c>
    </row>
    <row r="37">
      <c r="A37" s="104">
        <v>46251.0</v>
      </c>
      <c r="B37" s="105">
        <f t="shared" si="2"/>
        <v>16.61538462</v>
      </c>
      <c r="C37" s="105">
        <f t="shared" si="3"/>
        <v>19.38461538</v>
      </c>
      <c r="E37" s="104">
        <v>46251.0</v>
      </c>
      <c r="F37" s="106">
        <f t="shared" si="4"/>
        <v>28</v>
      </c>
      <c r="G37" s="110">
        <f t="shared" si="5"/>
        <v>8</v>
      </c>
    </row>
    <row r="38">
      <c r="A38" s="104">
        <v>46252.0</v>
      </c>
      <c r="B38" s="105">
        <f t="shared" si="2"/>
        <v>15.23076923</v>
      </c>
      <c r="C38" s="105">
        <f t="shared" si="3"/>
        <v>20.76923077</v>
      </c>
      <c r="E38" s="104">
        <v>46252.0</v>
      </c>
      <c r="F38" s="106">
        <f t="shared" si="4"/>
        <v>28</v>
      </c>
      <c r="G38" s="110">
        <f t="shared" si="5"/>
        <v>8</v>
      </c>
    </row>
    <row r="39">
      <c r="A39" s="104">
        <v>46253.0</v>
      </c>
      <c r="B39" s="105">
        <f t="shared" si="2"/>
        <v>13.84615385</v>
      </c>
      <c r="C39" s="105">
        <f t="shared" si="3"/>
        <v>22.15384615</v>
      </c>
      <c r="E39" s="104">
        <v>46253.0</v>
      </c>
      <c r="F39" s="106">
        <f t="shared" si="4"/>
        <v>28</v>
      </c>
      <c r="G39" s="110">
        <f t="shared" si="5"/>
        <v>8</v>
      </c>
    </row>
    <row r="40">
      <c r="A40" s="104">
        <v>46254.0</v>
      </c>
      <c r="B40" s="105">
        <f t="shared" si="2"/>
        <v>12.46153846</v>
      </c>
      <c r="C40" s="105">
        <f t="shared" si="3"/>
        <v>23.53846154</v>
      </c>
      <c r="E40" s="104">
        <v>46254.0</v>
      </c>
      <c r="F40" s="106">
        <f t="shared" si="4"/>
        <v>28</v>
      </c>
      <c r="G40" s="110">
        <f t="shared" si="5"/>
        <v>8</v>
      </c>
    </row>
    <row r="41">
      <c r="A41" s="104">
        <v>46255.0</v>
      </c>
      <c r="B41" s="105">
        <f t="shared" si="2"/>
        <v>11.07692308</v>
      </c>
      <c r="C41" s="105">
        <f t="shared" si="3"/>
        <v>24.92307692</v>
      </c>
      <c r="E41" s="104">
        <v>46255.0</v>
      </c>
      <c r="F41" s="106">
        <f t="shared" si="4"/>
        <v>28</v>
      </c>
      <c r="G41" s="110">
        <f t="shared" si="5"/>
        <v>8</v>
      </c>
    </row>
    <row r="42">
      <c r="A42" s="104">
        <v>46256.0</v>
      </c>
      <c r="B42" s="105">
        <f t="shared" si="2"/>
        <v>9.692307692</v>
      </c>
      <c r="C42" s="105">
        <f t="shared" si="3"/>
        <v>26.30769231</v>
      </c>
      <c r="E42" s="104">
        <v>46256.0</v>
      </c>
      <c r="F42" s="106">
        <f t="shared" si="4"/>
        <v>28</v>
      </c>
      <c r="G42" s="110">
        <f t="shared" si="5"/>
        <v>8</v>
      </c>
    </row>
    <row r="43">
      <c r="A43" s="104">
        <v>46257.0</v>
      </c>
      <c r="B43" s="105">
        <f t="shared" si="2"/>
        <v>8.307692308</v>
      </c>
      <c r="C43" s="105">
        <f t="shared" si="3"/>
        <v>27.69230769</v>
      </c>
      <c r="E43" s="104">
        <v>46257.0</v>
      </c>
      <c r="F43" s="106">
        <f t="shared" si="4"/>
        <v>28</v>
      </c>
      <c r="G43" s="110">
        <f t="shared" si="5"/>
        <v>8</v>
      </c>
    </row>
    <row r="44">
      <c r="A44" s="104">
        <v>46258.0</v>
      </c>
      <c r="B44" s="105">
        <f t="shared" si="2"/>
        <v>6.923076923</v>
      </c>
      <c r="C44" s="105">
        <f t="shared" si="3"/>
        <v>29.07692308</v>
      </c>
      <c r="E44" s="104">
        <v>46258.0</v>
      </c>
      <c r="F44" s="106">
        <v>0.0</v>
      </c>
      <c r="G44" s="106">
        <v>36.0</v>
      </c>
    </row>
    <row r="45">
      <c r="A45" s="104">
        <v>46259.0</v>
      </c>
      <c r="B45" s="105">
        <f t="shared" si="2"/>
        <v>5.538461538</v>
      </c>
      <c r="C45" s="105">
        <f t="shared" si="3"/>
        <v>30.46153846</v>
      </c>
      <c r="E45" s="104">
        <v>46259.0</v>
      </c>
      <c r="F45" s="106">
        <v>0.0</v>
      </c>
      <c r="G45" s="106">
        <v>36.0</v>
      </c>
    </row>
    <row r="46">
      <c r="A46" s="104">
        <v>46260.0</v>
      </c>
      <c r="B46" s="105">
        <f t="shared" si="2"/>
        <v>4.153846154</v>
      </c>
      <c r="C46" s="105">
        <f t="shared" si="3"/>
        <v>31.84615385</v>
      </c>
      <c r="E46" s="104">
        <v>46260.0</v>
      </c>
      <c r="F46" s="106">
        <v>0.0</v>
      </c>
      <c r="G46" s="106">
        <v>36.0</v>
      </c>
    </row>
    <row r="47">
      <c r="A47" s="104">
        <v>46261.0</v>
      </c>
      <c r="B47" s="105">
        <f t="shared" si="2"/>
        <v>2.769230769</v>
      </c>
      <c r="C47" s="105">
        <f t="shared" si="3"/>
        <v>33.23076923</v>
      </c>
      <c r="E47" s="104">
        <v>46261.0</v>
      </c>
      <c r="F47" s="106">
        <v>0.0</v>
      </c>
      <c r="G47" s="106">
        <v>36.0</v>
      </c>
    </row>
    <row r="48">
      <c r="A48" s="104">
        <v>46262.0</v>
      </c>
      <c r="B48" s="105">
        <f t="shared" si="2"/>
        <v>1.384615385</v>
      </c>
      <c r="C48" s="105">
        <f t="shared" si="3"/>
        <v>34.61538462</v>
      </c>
      <c r="E48" s="104">
        <v>46262.0</v>
      </c>
      <c r="F48" s="106">
        <v>0.0</v>
      </c>
      <c r="G48" s="106">
        <v>36.0</v>
      </c>
    </row>
    <row r="49">
      <c r="A49" s="104">
        <v>46263.0</v>
      </c>
      <c r="B49" s="105">
        <f t="shared" si="2"/>
        <v>0</v>
      </c>
      <c r="C49" s="105">
        <f t="shared" si="3"/>
        <v>36</v>
      </c>
      <c r="E49" s="104">
        <v>46263.0</v>
      </c>
      <c r="F49" s="106">
        <v>0.0</v>
      </c>
      <c r="G49" s="106">
        <v>36.0</v>
      </c>
    </row>
    <row r="50">
      <c r="A50" s="111" t="s">
        <v>127</v>
      </c>
      <c r="B50" s="42"/>
      <c r="C50" s="42"/>
      <c r="D50" s="42"/>
      <c r="E50" s="42"/>
      <c r="F50" s="43"/>
    </row>
    <row r="51">
      <c r="A51" s="112"/>
      <c r="F51" s="6"/>
    </row>
    <row r="52">
      <c r="A52" s="112"/>
      <c r="F52" s="6"/>
    </row>
    <row r="53">
      <c r="A53" s="112"/>
      <c r="F53" s="6"/>
    </row>
    <row r="54">
      <c r="A54" s="113"/>
      <c r="B54" s="39"/>
      <c r="C54" s="39"/>
      <c r="D54" s="39"/>
      <c r="E54" s="39"/>
      <c r="F54" s="37"/>
    </row>
  </sheetData>
  <mergeCells count="4">
    <mergeCell ref="A19:H19"/>
    <mergeCell ref="A21:C21"/>
    <mergeCell ref="E21:G21"/>
    <mergeCell ref="A50:F54"/>
  </mergeCells>
  <dataValidations>
    <dataValidation type="custom" allowBlank="1" showDropDown="1" sqref="D7:E17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0"/>
    <col customWidth="1" min="5" max="5" width="11.38"/>
    <col customWidth="1" min="6" max="6" width="29.5"/>
    <col customWidth="1" min="7" max="7" width="20.38"/>
    <col customWidth="1" min="8" max="8" width="17.25"/>
  </cols>
  <sheetData>
    <row r="5" ht="1.5" customHeight="1"/>
    <row r="6" ht="33.75" customHeight="1">
      <c r="A6" s="59" t="s">
        <v>65</v>
      </c>
      <c r="B6" s="61" t="s">
        <v>66</v>
      </c>
      <c r="C6" s="59" t="s">
        <v>67</v>
      </c>
      <c r="D6" s="63" t="s">
        <v>68</v>
      </c>
      <c r="E6" s="63" t="s">
        <v>69</v>
      </c>
      <c r="F6" s="64" t="s">
        <v>70</v>
      </c>
      <c r="G6" s="65" t="s">
        <v>71</v>
      </c>
      <c r="H6" s="65" t="s">
        <v>72</v>
      </c>
    </row>
    <row r="7" ht="22.5" customHeight="1">
      <c r="A7" s="68" t="s">
        <v>75</v>
      </c>
      <c r="B7" s="70" t="s">
        <v>77</v>
      </c>
      <c r="C7" s="72" t="s">
        <v>76</v>
      </c>
      <c r="D7" s="73">
        <v>5.0</v>
      </c>
      <c r="E7" s="73">
        <v>24.0</v>
      </c>
      <c r="F7" s="74" t="s">
        <v>79</v>
      </c>
      <c r="G7" s="76">
        <v>46276.0</v>
      </c>
      <c r="H7" s="76">
        <v>46279.0</v>
      </c>
    </row>
    <row r="8" ht="22.5" customHeight="1">
      <c r="A8" s="77" t="s">
        <v>83</v>
      </c>
      <c r="B8" s="78" t="s">
        <v>84</v>
      </c>
      <c r="C8" s="81" t="s">
        <v>82</v>
      </c>
      <c r="D8" s="80">
        <v>8.0</v>
      </c>
      <c r="E8" s="80">
        <v>40.0</v>
      </c>
      <c r="F8" s="74" t="s">
        <v>79</v>
      </c>
      <c r="G8" s="76">
        <v>46276.0</v>
      </c>
      <c r="H8" s="76">
        <v>46279.0</v>
      </c>
    </row>
    <row r="9" ht="22.5" customHeight="1">
      <c r="A9" s="68" t="s">
        <v>87</v>
      </c>
      <c r="B9" s="70" t="s">
        <v>88</v>
      </c>
      <c r="C9" s="72" t="s">
        <v>82</v>
      </c>
      <c r="D9" s="73">
        <v>8.0</v>
      </c>
      <c r="E9" s="73">
        <v>40.0</v>
      </c>
      <c r="F9" s="74" t="s">
        <v>79</v>
      </c>
      <c r="G9" s="76">
        <v>46276.0</v>
      </c>
      <c r="H9" s="76">
        <v>46279.0</v>
      </c>
    </row>
    <row r="10" ht="22.5" customHeight="1">
      <c r="A10" s="77" t="s">
        <v>91</v>
      </c>
      <c r="B10" s="78" t="s">
        <v>92</v>
      </c>
      <c r="C10" s="83" t="s">
        <v>76</v>
      </c>
      <c r="D10" s="80">
        <v>5.0</v>
      </c>
      <c r="E10" s="80">
        <v>24.0</v>
      </c>
      <c r="F10" s="82"/>
      <c r="G10" s="76">
        <v>46297.0</v>
      </c>
      <c r="H10" s="76">
        <v>46288.0</v>
      </c>
    </row>
    <row r="11" ht="22.5" customHeight="1">
      <c r="A11" s="68" t="s">
        <v>95</v>
      </c>
      <c r="B11" s="70" t="s">
        <v>96</v>
      </c>
      <c r="C11" s="72" t="s">
        <v>76</v>
      </c>
      <c r="D11" s="73">
        <v>5.0</v>
      </c>
      <c r="E11" s="73">
        <v>24.0</v>
      </c>
      <c r="F11" s="75"/>
      <c r="G11" s="76">
        <v>46297.0</v>
      </c>
      <c r="H11" s="84">
        <v>46288.0</v>
      </c>
    </row>
    <row r="12" ht="22.5" customHeight="1">
      <c r="A12" s="77" t="s">
        <v>100</v>
      </c>
      <c r="B12" s="78" t="s">
        <v>102</v>
      </c>
      <c r="C12" s="81" t="s">
        <v>76</v>
      </c>
      <c r="D12" s="80">
        <v>8.0</v>
      </c>
      <c r="E12" s="80">
        <v>40.0</v>
      </c>
      <c r="F12" s="82"/>
      <c r="G12" s="76">
        <v>46276.0</v>
      </c>
      <c r="H12" s="84">
        <v>46288.0</v>
      </c>
    </row>
    <row r="13" ht="22.5" customHeight="1">
      <c r="A13" s="68" t="s">
        <v>104</v>
      </c>
      <c r="B13" s="70" t="s">
        <v>105</v>
      </c>
      <c r="C13" s="72" t="s">
        <v>76</v>
      </c>
      <c r="D13" s="73">
        <v>3.0</v>
      </c>
      <c r="E13" s="73">
        <v>16.0</v>
      </c>
      <c r="F13" s="75"/>
      <c r="G13" s="84">
        <v>46283.0</v>
      </c>
      <c r="H13" s="84">
        <v>46288.0</v>
      </c>
    </row>
    <row r="14" ht="22.5" customHeight="1">
      <c r="A14" s="77" t="s">
        <v>108</v>
      </c>
      <c r="B14" s="78" t="s">
        <v>109</v>
      </c>
      <c r="C14" s="81" t="s">
        <v>99</v>
      </c>
      <c r="D14" s="80">
        <v>5.0</v>
      </c>
      <c r="E14" s="80">
        <v>24.0</v>
      </c>
      <c r="F14" s="82"/>
      <c r="G14" s="76">
        <v>46276.0</v>
      </c>
      <c r="H14" s="76">
        <v>46286.0</v>
      </c>
    </row>
    <row r="15" ht="22.5" customHeight="1">
      <c r="A15" s="68" t="s">
        <v>110</v>
      </c>
      <c r="B15" s="70" t="s">
        <v>111</v>
      </c>
      <c r="C15" s="72" t="s">
        <v>99</v>
      </c>
      <c r="D15" s="73">
        <v>8.0</v>
      </c>
      <c r="E15" s="73">
        <v>40.0</v>
      </c>
      <c r="F15" s="75"/>
      <c r="G15" s="76">
        <v>46297.0</v>
      </c>
      <c r="H15" s="84">
        <v>46286.0</v>
      </c>
    </row>
    <row r="16" ht="22.5" customHeight="1">
      <c r="A16" s="88" t="s">
        <v>113</v>
      </c>
      <c r="B16" s="89" t="s">
        <v>114</v>
      </c>
      <c r="C16" s="90" t="s">
        <v>82</v>
      </c>
      <c r="D16" s="91">
        <v>8.0</v>
      </c>
      <c r="E16" s="91">
        <v>40.0</v>
      </c>
      <c r="F16" s="93" t="s">
        <v>115</v>
      </c>
      <c r="G16" s="94">
        <v>46297.0</v>
      </c>
      <c r="H16" s="93" t="s">
        <v>107</v>
      </c>
    </row>
    <row r="17" ht="22.5" customHeight="1">
      <c r="A17" s="96" t="s">
        <v>116</v>
      </c>
      <c r="B17" s="98" t="s">
        <v>117</v>
      </c>
      <c r="C17" s="99" t="s">
        <v>82</v>
      </c>
      <c r="D17" s="91">
        <v>8.0</v>
      </c>
      <c r="E17" s="91">
        <v>40.0</v>
      </c>
      <c r="F17" s="101" t="s">
        <v>115</v>
      </c>
      <c r="G17" s="94">
        <v>46297.0</v>
      </c>
      <c r="H17" s="101" t="s">
        <v>107</v>
      </c>
    </row>
    <row r="18" ht="22.5" customHeight="1">
      <c r="A18" s="85" t="s">
        <v>112</v>
      </c>
      <c r="B18" s="86"/>
      <c r="C18" s="87"/>
      <c r="D18" s="92">
        <f t="shared" ref="D18:E18" si="1">SUM(D8:D17)</f>
        <v>66</v>
      </c>
      <c r="E18" s="92">
        <f t="shared" si="1"/>
        <v>328</v>
      </c>
      <c r="F18" s="95"/>
      <c r="G18" s="95"/>
      <c r="H18" s="97"/>
    </row>
    <row r="20">
      <c r="A20" s="100" t="s">
        <v>124</v>
      </c>
      <c r="B20" s="10"/>
      <c r="C20" s="10"/>
      <c r="D20" s="10"/>
      <c r="E20" s="10"/>
      <c r="F20" s="10"/>
      <c r="G20" s="10"/>
      <c r="H20" s="11"/>
    </row>
    <row r="22">
      <c r="A22" s="100" t="s">
        <v>125</v>
      </c>
      <c r="B22" s="10"/>
      <c r="C22" s="11"/>
      <c r="E22" s="100" t="s">
        <v>126</v>
      </c>
      <c r="F22" s="10"/>
      <c r="G22" s="11"/>
    </row>
    <row r="23">
      <c r="A23" s="107" t="s">
        <v>121</v>
      </c>
      <c r="B23" s="108" t="s">
        <v>122</v>
      </c>
      <c r="C23" s="109" t="s">
        <v>123</v>
      </c>
      <c r="E23" s="102" t="s">
        <v>121</v>
      </c>
      <c r="F23" s="102" t="s">
        <v>122</v>
      </c>
      <c r="G23" s="103" t="s">
        <v>123</v>
      </c>
    </row>
    <row r="24">
      <c r="A24" s="104">
        <v>46265.0</v>
      </c>
      <c r="B24" s="105">
        <f>SUM(D10+D11+D12+D13+D14+D15+D7+D8+D9)</f>
        <v>55</v>
      </c>
      <c r="C24" s="105">
        <f t="shared" ref="C24:C56" si="2">$B$24-B24</f>
        <v>0</v>
      </c>
      <c r="E24" s="104">
        <v>46265.0</v>
      </c>
      <c r="F24" s="106">
        <v>55.0</v>
      </c>
      <c r="G24" s="106">
        <v>0.0</v>
      </c>
    </row>
    <row r="25">
      <c r="A25" s="104">
        <v>46266.0</v>
      </c>
      <c r="B25" s="105">
        <f t="shared" ref="B25:B56" si="3">B24-($B$24/32)</f>
        <v>53.28125</v>
      </c>
      <c r="C25" s="105">
        <f t="shared" si="2"/>
        <v>1.71875</v>
      </c>
      <c r="E25" s="104">
        <v>46266.0</v>
      </c>
      <c r="F25" s="106">
        <v>55.0</v>
      </c>
      <c r="G25" s="106">
        <v>0.0</v>
      </c>
    </row>
    <row r="26">
      <c r="A26" s="104">
        <v>46267.0</v>
      </c>
      <c r="B26" s="105">
        <f t="shared" si="3"/>
        <v>51.5625</v>
      </c>
      <c r="C26" s="105">
        <f t="shared" si="2"/>
        <v>3.4375</v>
      </c>
      <c r="E26" s="104">
        <v>46267.0</v>
      </c>
      <c r="F26" s="106">
        <v>55.0</v>
      </c>
      <c r="G26" s="106">
        <v>0.0</v>
      </c>
    </row>
    <row r="27">
      <c r="A27" s="104">
        <v>46268.0</v>
      </c>
      <c r="B27" s="105">
        <f t="shared" si="3"/>
        <v>49.84375</v>
      </c>
      <c r="C27" s="105">
        <f t="shared" si="2"/>
        <v>5.15625</v>
      </c>
      <c r="E27" s="104">
        <v>46268.0</v>
      </c>
      <c r="F27" s="106">
        <v>55.0</v>
      </c>
      <c r="G27" s="106">
        <v>0.0</v>
      </c>
    </row>
    <row r="28">
      <c r="A28" s="104">
        <v>46269.0</v>
      </c>
      <c r="B28" s="105">
        <f t="shared" si="3"/>
        <v>48.125</v>
      </c>
      <c r="C28" s="105">
        <f t="shared" si="2"/>
        <v>6.875</v>
      </c>
      <c r="E28" s="104">
        <v>46269.0</v>
      </c>
      <c r="F28" s="106">
        <v>55.0</v>
      </c>
      <c r="G28" s="106">
        <v>0.0</v>
      </c>
    </row>
    <row r="29">
      <c r="A29" s="104">
        <v>46270.0</v>
      </c>
      <c r="B29" s="105">
        <f t="shared" si="3"/>
        <v>46.40625</v>
      </c>
      <c r="C29" s="105">
        <f t="shared" si="2"/>
        <v>8.59375</v>
      </c>
      <c r="E29" s="104">
        <v>46270.0</v>
      </c>
      <c r="F29" s="106">
        <v>55.0</v>
      </c>
      <c r="G29" s="106">
        <v>0.0</v>
      </c>
    </row>
    <row r="30">
      <c r="A30" s="104">
        <v>46271.0</v>
      </c>
      <c r="B30" s="105">
        <f t="shared" si="3"/>
        <v>44.6875</v>
      </c>
      <c r="C30" s="105">
        <f t="shared" si="2"/>
        <v>10.3125</v>
      </c>
      <c r="E30" s="104">
        <v>46271.0</v>
      </c>
      <c r="F30" s="106">
        <v>55.0</v>
      </c>
      <c r="G30" s="106">
        <v>0.0</v>
      </c>
    </row>
    <row r="31">
      <c r="A31" s="104">
        <v>46272.0</v>
      </c>
      <c r="B31" s="105">
        <f t="shared" si="3"/>
        <v>42.96875</v>
      </c>
      <c r="C31" s="105">
        <f t="shared" si="2"/>
        <v>12.03125</v>
      </c>
      <c r="E31" s="104">
        <v>46272.0</v>
      </c>
      <c r="F31" s="106">
        <v>55.0</v>
      </c>
      <c r="G31" s="106">
        <v>0.0</v>
      </c>
    </row>
    <row r="32">
      <c r="A32" s="104">
        <v>46273.0</v>
      </c>
      <c r="B32" s="105">
        <f t="shared" si="3"/>
        <v>41.25</v>
      </c>
      <c r="C32" s="105">
        <f t="shared" si="2"/>
        <v>13.75</v>
      </c>
      <c r="E32" s="104">
        <v>46273.0</v>
      </c>
      <c r="F32" s="106">
        <v>55.0</v>
      </c>
      <c r="G32" s="106">
        <v>0.0</v>
      </c>
    </row>
    <row r="33">
      <c r="A33" s="104">
        <v>46274.0</v>
      </c>
      <c r="B33" s="105">
        <f t="shared" si="3"/>
        <v>39.53125</v>
      </c>
      <c r="C33" s="105">
        <f t="shared" si="2"/>
        <v>15.46875</v>
      </c>
      <c r="E33" s="104">
        <v>46274.0</v>
      </c>
      <c r="F33" s="106">
        <v>55.0</v>
      </c>
      <c r="G33" s="106">
        <v>0.0</v>
      </c>
    </row>
    <row r="34">
      <c r="A34" s="104">
        <v>46275.0</v>
      </c>
      <c r="B34" s="105">
        <f t="shared" si="3"/>
        <v>37.8125</v>
      </c>
      <c r="C34" s="105">
        <f t="shared" si="2"/>
        <v>17.1875</v>
      </c>
      <c r="E34" s="104">
        <v>46275.0</v>
      </c>
      <c r="F34" s="106">
        <v>55.0</v>
      </c>
      <c r="G34" s="106">
        <v>0.0</v>
      </c>
    </row>
    <row r="35">
      <c r="A35" s="104">
        <v>46276.0</v>
      </c>
      <c r="B35" s="105">
        <f t="shared" si="3"/>
        <v>36.09375</v>
      </c>
      <c r="C35" s="105">
        <f t="shared" si="2"/>
        <v>18.90625</v>
      </c>
      <c r="E35" s="104">
        <v>46276.0</v>
      </c>
      <c r="F35" s="106">
        <v>55.0</v>
      </c>
      <c r="G35" s="106">
        <v>0.0</v>
      </c>
    </row>
    <row r="36">
      <c r="A36" s="104">
        <v>46277.0</v>
      </c>
      <c r="B36" s="105">
        <f t="shared" si="3"/>
        <v>34.375</v>
      </c>
      <c r="C36" s="105">
        <f t="shared" si="2"/>
        <v>20.625</v>
      </c>
      <c r="E36" s="104">
        <v>46277.0</v>
      </c>
      <c r="F36" s="106">
        <v>55.0</v>
      </c>
      <c r="G36" s="106">
        <v>0.0</v>
      </c>
    </row>
    <row r="37">
      <c r="A37" s="104">
        <v>46278.0</v>
      </c>
      <c r="B37" s="105">
        <f t="shared" si="3"/>
        <v>32.65625</v>
      </c>
      <c r="C37" s="105">
        <f t="shared" si="2"/>
        <v>22.34375</v>
      </c>
      <c r="E37" s="104">
        <v>46278.0</v>
      </c>
      <c r="F37" s="106">
        <v>55.0</v>
      </c>
      <c r="G37" s="106">
        <v>0.0</v>
      </c>
    </row>
    <row r="38">
      <c r="A38" s="104">
        <v>46279.0</v>
      </c>
      <c r="B38" s="105">
        <f t="shared" si="3"/>
        <v>30.9375</v>
      </c>
      <c r="C38" s="105">
        <f t="shared" si="2"/>
        <v>24.0625</v>
      </c>
      <c r="E38" s="104">
        <v>46279.0</v>
      </c>
      <c r="F38" s="106">
        <v>34.0</v>
      </c>
      <c r="G38" s="106">
        <v>21.0</v>
      </c>
    </row>
    <row r="39">
      <c r="A39" s="104">
        <v>46280.0</v>
      </c>
      <c r="B39" s="105">
        <f t="shared" si="3"/>
        <v>29.21875</v>
      </c>
      <c r="C39" s="105">
        <f t="shared" si="2"/>
        <v>25.78125</v>
      </c>
      <c r="E39" s="104">
        <v>46280.0</v>
      </c>
      <c r="F39" s="106">
        <v>34.0</v>
      </c>
      <c r="G39" s="106">
        <v>21.0</v>
      </c>
    </row>
    <row r="40">
      <c r="A40" s="104">
        <v>46281.0</v>
      </c>
      <c r="B40" s="105">
        <f t="shared" si="3"/>
        <v>27.5</v>
      </c>
      <c r="C40" s="105">
        <f t="shared" si="2"/>
        <v>27.5</v>
      </c>
      <c r="E40" s="104">
        <v>46281.0</v>
      </c>
      <c r="F40" s="106">
        <v>34.0</v>
      </c>
      <c r="G40" s="106">
        <v>21.0</v>
      </c>
    </row>
    <row r="41">
      <c r="A41" s="104">
        <v>46282.0</v>
      </c>
      <c r="B41" s="105">
        <f t="shared" si="3"/>
        <v>25.78125</v>
      </c>
      <c r="C41" s="105">
        <f t="shared" si="2"/>
        <v>29.21875</v>
      </c>
      <c r="E41" s="104">
        <v>46282.0</v>
      </c>
      <c r="F41" s="106">
        <v>34.0</v>
      </c>
      <c r="G41" s="106">
        <v>21.0</v>
      </c>
    </row>
    <row r="42">
      <c r="A42" s="104">
        <v>46283.0</v>
      </c>
      <c r="B42" s="105">
        <f t="shared" si="3"/>
        <v>24.0625</v>
      </c>
      <c r="C42" s="105">
        <f t="shared" si="2"/>
        <v>30.9375</v>
      </c>
      <c r="E42" s="104">
        <v>46283.0</v>
      </c>
      <c r="F42" s="106">
        <v>34.0</v>
      </c>
      <c r="G42" s="106">
        <v>21.0</v>
      </c>
    </row>
    <row r="43">
      <c r="A43" s="104">
        <v>46284.0</v>
      </c>
      <c r="B43" s="105">
        <f t="shared" si="3"/>
        <v>22.34375</v>
      </c>
      <c r="C43" s="105">
        <f t="shared" si="2"/>
        <v>32.65625</v>
      </c>
      <c r="E43" s="104">
        <v>46284.0</v>
      </c>
      <c r="F43" s="106">
        <v>34.0</v>
      </c>
      <c r="G43" s="106">
        <v>21.0</v>
      </c>
    </row>
    <row r="44">
      <c r="A44" s="104">
        <v>46285.0</v>
      </c>
      <c r="B44" s="105">
        <f t="shared" si="3"/>
        <v>20.625</v>
      </c>
      <c r="C44" s="105">
        <f t="shared" si="2"/>
        <v>34.375</v>
      </c>
      <c r="E44" s="104">
        <v>46285.0</v>
      </c>
      <c r="F44" s="106">
        <v>34.0</v>
      </c>
      <c r="G44" s="106">
        <v>21.0</v>
      </c>
    </row>
    <row r="45">
      <c r="A45" s="104">
        <v>46286.0</v>
      </c>
      <c r="B45" s="105">
        <f t="shared" si="3"/>
        <v>18.90625</v>
      </c>
      <c r="C45" s="105">
        <f t="shared" si="2"/>
        <v>36.09375</v>
      </c>
      <c r="E45" s="104">
        <v>46286.0</v>
      </c>
      <c r="F45" s="106">
        <v>21.0</v>
      </c>
      <c r="G45" s="106">
        <v>34.0</v>
      </c>
    </row>
    <row r="46">
      <c r="A46" s="104">
        <v>46287.0</v>
      </c>
      <c r="B46" s="105">
        <f t="shared" si="3"/>
        <v>17.1875</v>
      </c>
      <c r="C46" s="105">
        <f t="shared" si="2"/>
        <v>37.8125</v>
      </c>
      <c r="E46" s="104">
        <v>46287.0</v>
      </c>
      <c r="F46" s="106">
        <v>21.0</v>
      </c>
      <c r="G46" s="106">
        <v>34.0</v>
      </c>
    </row>
    <row r="47">
      <c r="A47" s="104">
        <v>46288.0</v>
      </c>
      <c r="B47" s="105">
        <f t="shared" si="3"/>
        <v>15.46875</v>
      </c>
      <c r="C47" s="105">
        <f t="shared" si="2"/>
        <v>39.53125</v>
      </c>
      <c r="E47" s="104">
        <v>46288.0</v>
      </c>
      <c r="F47" s="106">
        <v>0.0</v>
      </c>
      <c r="G47" s="106">
        <v>55.0</v>
      </c>
    </row>
    <row r="48">
      <c r="A48" s="104">
        <v>46289.0</v>
      </c>
      <c r="B48" s="105">
        <f t="shared" si="3"/>
        <v>13.75</v>
      </c>
      <c r="C48" s="105">
        <f t="shared" si="2"/>
        <v>41.25</v>
      </c>
      <c r="E48" s="104">
        <v>46289.0</v>
      </c>
      <c r="F48" s="106">
        <v>0.0</v>
      </c>
      <c r="G48" s="106">
        <v>55.0</v>
      </c>
    </row>
    <row r="49">
      <c r="A49" s="104">
        <v>46290.0</v>
      </c>
      <c r="B49" s="105">
        <f t="shared" si="3"/>
        <v>12.03125</v>
      </c>
      <c r="C49" s="105">
        <f t="shared" si="2"/>
        <v>42.96875</v>
      </c>
      <c r="E49" s="104">
        <v>46290.0</v>
      </c>
      <c r="F49" s="106">
        <v>0.0</v>
      </c>
      <c r="G49" s="106">
        <v>55.0</v>
      </c>
    </row>
    <row r="50">
      <c r="A50" s="104">
        <v>46291.0</v>
      </c>
      <c r="B50" s="105">
        <f t="shared" si="3"/>
        <v>10.3125</v>
      </c>
      <c r="C50" s="105">
        <f t="shared" si="2"/>
        <v>44.6875</v>
      </c>
      <c r="E50" s="104">
        <v>46291.0</v>
      </c>
      <c r="F50" s="106">
        <v>0.0</v>
      </c>
      <c r="G50" s="106">
        <v>55.0</v>
      </c>
    </row>
    <row r="51">
      <c r="A51" s="104">
        <v>46292.0</v>
      </c>
      <c r="B51" s="105">
        <f t="shared" si="3"/>
        <v>8.59375</v>
      </c>
      <c r="C51" s="105">
        <f t="shared" si="2"/>
        <v>46.40625</v>
      </c>
      <c r="E51" s="104">
        <v>46292.0</v>
      </c>
      <c r="F51" s="106">
        <v>0.0</v>
      </c>
      <c r="G51" s="106">
        <v>55.0</v>
      </c>
    </row>
    <row r="52">
      <c r="A52" s="104">
        <v>46293.0</v>
      </c>
      <c r="B52" s="105">
        <f t="shared" si="3"/>
        <v>6.875</v>
      </c>
      <c r="C52" s="105">
        <f t="shared" si="2"/>
        <v>48.125</v>
      </c>
      <c r="E52" s="104">
        <v>46293.0</v>
      </c>
      <c r="F52" s="106">
        <v>0.0</v>
      </c>
      <c r="G52" s="106">
        <v>55.0</v>
      </c>
    </row>
    <row r="53">
      <c r="A53" s="104">
        <v>46294.0</v>
      </c>
      <c r="B53" s="105">
        <f t="shared" si="3"/>
        <v>5.15625</v>
      </c>
      <c r="C53" s="105">
        <f t="shared" si="2"/>
        <v>49.84375</v>
      </c>
      <c r="E53" s="104">
        <v>46294.0</v>
      </c>
      <c r="F53" s="106">
        <v>0.0</v>
      </c>
      <c r="G53" s="106">
        <v>55.0</v>
      </c>
    </row>
    <row r="54">
      <c r="A54" s="104">
        <v>46295.0</v>
      </c>
      <c r="B54" s="105">
        <f t="shared" si="3"/>
        <v>3.4375</v>
      </c>
      <c r="C54" s="105">
        <f t="shared" si="2"/>
        <v>51.5625</v>
      </c>
      <c r="E54" s="104">
        <v>46295.0</v>
      </c>
      <c r="F54" s="106">
        <v>0.0</v>
      </c>
      <c r="G54" s="106">
        <v>55.0</v>
      </c>
    </row>
    <row r="55">
      <c r="A55" s="104">
        <v>46296.0</v>
      </c>
      <c r="B55" s="105">
        <f t="shared" si="3"/>
        <v>1.71875</v>
      </c>
      <c r="C55" s="105">
        <f t="shared" si="2"/>
        <v>53.28125</v>
      </c>
      <c r="E55" s="104">
        <v>46296.0</v>
      </c>
      <c r="F55" s="106">
        <v>0.0</v>
      </c>
      <c r="G55" s="106">
        <v>55.0</v>
      </c>
    </row>
    <row r="56">
      <c r="A56" s="104">
        <v>46297.0</v>
      </c>
      <c r="B56" s="105">
        <f t="shared" si="3"/>
        <v>0</v>
      </c>
      <c r="C56" s="105">
        <f t="shared" si="2"/>
        <v>55</v>
      </c>
      <c r="E56" s="104">
        <v>46297.0</v>
      </c>
      <c r="F56" s="106">
        <v>0.0</v>
      </c>
      <c r="G56" s="106">
        <v>55.0</v>
      </c>
    </row>
    <row r="57">
      <c r="B57" s="115"/>
    </row>
    <row r="58">
      <c r="B58" s="115"/>
    </row>
    <row r="59">
      <c r="B59" s="115"/>
    </row>
    <row r="60">
      <c r="B60" s="115"/>
    </row>
    <row r="61">
      <c r="B61" s="115"/>
    </row>
  </sheetData>
  <mergeCells count="3">
    <mergeCell ref="A20:H20"/>
    <mergeCell ref="A22:C22"/>
    <mergeCell ref="E22:G22"/>
  </mergeCells>
  <dataValidations>
    <dataValidation type="custom" allowBlank="1" showDropDown="1" sqref="D7:E18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0"/>
    <col customWidth="1" min="6" max="7" width="20.38"/>
    <col customWidth="1" min="8" max="8" width="17.25"/>
  </cols>
  <sheetData>
    <row r="5" ht="1.5" customHeight="1"/>
    <row r="6" ht="33.75" customHeight="1">
      <c r="A6" s="58" t="s">
        <v>65</v>
      </c>
      <c r="B6" s="60" t="s">
        <v>66</v>
      </c>
      <c r="C6" s="58" t="s">
        <v>67</v>
      </c>
      <c r="D6" s="62" t="s">
        <v>68</v>
      </c>
      <c r="E6" s="62" t="s">
        <v>69</v>
      </c>
      <c r="F6" s="64" t="s">
        <v>70</v>
      </c>
      <c r="G6" s="65" t="s">
        <v>71</v>
      </c>
      <c r="H6" s="65" t="s">
        <v>72</v>
      </c>
    </row>
    <row r="7" ht="22.5" customHeight="1">
      <c r="A7" s="68" t="s">
        <v>128</v>
      </c>
      <c r="B7" s="70" t="s">
        <v>129</v>
      </c>
      <c r="C7" s="72" t="s">
        <v>76</v>
      </c>
      <c r="D7" s="73">
        <v>5.0</v>
      </c>
      <c r="E7" s="73">
        <v>24.0</v>
      </c>
      <c r="F7" s="101"/>
      <c r="G7" s="114">
        <v>46325.0</v>
      </c>
      <c r="H7" s="82"/>
    </row>
    <row r="8" ht="22.5" customHeight="1">
      <c r="A8" s="77" t="s">
        <v>130</v>
      </c>
      <c r="B8" s="78" t="s">
        <v>131</v>
      </c>
      <c r="C8" s="81" t="s">
        <v>76</v>
      </c>
      <c r="D8" s="80">
        <v>5.0</v>
      </c>
      <c r="E8" s="80">
        <v>24.0</v>
      </c>
      <c r="F8" s="101"/>
      <c r="G8" s="114">
        <v>46315.0</v>
      </c>
      <c r="H8" s="75"/>
    </row>
    <row r="9" ht="22.5" customHeight="1">
      <c r="A9" s="68" t="s">
        <v>132</v>
      </c>
      <c r="B9" s="70" t="s">
        <v>133</v>
      </c>
      <c r="C9" s="72" t="s">
        <v>76</v>
      </c>
      <c r="D9" s="73">
        <v>8.0</v>
      </c>
      <c r="E9" s="73">
        <v>40.0</v>
      </c>
      <c r="F9" s="101"/>
      <c r="G9" s="94">
        <v>46311.0</v>
      </c>
      <c r="H9" s="82"/>
    </row>
    <row r="10" ht="22.5" customHeight="1">
      <c r="A10" s="77" t="s">
        <v>134</v>
      </c>
      <c r="B10" s="78" t="s">
        <v>135</v>
      </c>
      <c r="C10" s="81" t="s">
        <v>99</v>
      </c>
      <c r="D10" s="80">
        <v>8.0</v>
      </c>
      <c r="E10" s="80">
        <v>40.0</v>
      </c>
      <c r="F10" s="75"/>
      <c r="G10" s="94">
        <v>46311.0</v>
      </c>
      <c r="H10" s="75"/>
    </row>
    <row r="11" ht="22.5" customHeight="1">
      <c r="A11" s="68" t="s">
        <v>136</v>
      </c>
      <c r="B11" s="70" t="s">
        <v>137</v>
      </c>
      <c r="C11" s="72" t="s">
        <v>99</v>
      </c>
      <c r="D11" s="73">
        <v>5.0</v>
      </c>
      <c r="E11" s="73">
        <v>24.0</v>
      </c>
      <c r="F11" s="75"/>
      <c r="G11" s="94">
        <v>46311.0</v>
      </c>
      <c r="H11" s="75"/>
    </row>
    <row r="12" ht="22.5" customHeight="1">
      <c r="A12" s="77" t="s">
        <v>138</v>
      </c>
      <c r="B12" s="78" t="s">
        <v>139</v>
      </c>
      <c r="C12" s="81" t="s">
        <v>99</v>
      </c>
      <c r="D12" s="80">
        <v>5.0</v>
      </c>
      <c r="E12" s="80">
        <v>24.0</v>
      </c>
      <c r="F12" s="75"/>
      <c r="G12" s="114">
        <v>46325.0</v>
      </c>
      <c r="H12" s="75"/>
    </row>
    <row r="13" ht="22.5" customHeight="1">
      <c r="A13" s="68" t="s">
        <v>140</v>
      </c>
      <c r="B13" s="70" t="s">
        <v>141</v>
      </c>
      <c r="C13" s="72" t="s">
        <v>82</v>
      </c>
      <c r="D13" s="73">
        <v>8.0</v>
      </c>
      <c r="E13" s="73">
        <v>40.0</v>
      </c>
      <c r="F13" s="82"/>
      <c r="G13" s="114">
        <v>46314.0</v>
      </c>
      <c r="H13" s="82"/>
    </row>
    <row r="14" ht="22.5" customHeight="1">
      <c r="A14" s="77" t="s">
        <v>142</v>
      </c>
      <c r="B14" s="78" t="s">
        <v>143</v>
      </c>
      <c r="C14" s="81" t="s">
        <v>82</v>
      </c>
      <c r="D14" s="80">
        <v>3.0</v>
      </c>
      <c r="E14" s="80">
        <v>16.0</v>
      </c>
      <c r="F14" s="75"/>
      <c r="G14" s="114">
        <v>46325.0</v>
      </c>
      <c r="H14" s="75"/>
    </row>
    <row r="15" ht="22.5" customHeight="1">
      <c r="A15" s="88" t="s">
        <v>113</v>
      </c>
      <c r="B15" s="89" t="s">
        <v>114</v>
      </c>
      <c r="C15" s="90" t="s">
        <v>82</v>
      </c>
      <c r="D15" s="91">
        <v>8.0</v>
      </c>
      <c r="E15" s="91">
        <v>40.0</v>
      </c>
      <c r="F15" s="93"/>
      <c r="G15" s="94">
        <v>46311.0</v>
      </c>
      <c r="H15" s="93"/>
    </row>
    <row r="16" ht="22.5" customHeight="1">
      <c r="A16" s="96" t="s">
        <v>116</v>
      </c>
      <c r="B16" s="98" t="s">
        <v>117</v>
      </c>
      <c r="C16" s="99" t="s">
        <v>82</v>
      </c>
      <c r="D16" s="91">
        <v>8.0</v>
      </c>
      <c r="E16" s="91">
        <v>40.0</v>
      </c>
      <c r="F16" s="101"/>
      <c r="G16" s="114">
        <v>46325.0</v>
      </c>
      <c r="H16" s="93"/>
    </row>
    <row r="17" ht="22.5" customHeight="1">
      <c r="A17" s="85" t="s">
        <v>112</v>
      </c>
      <c r="B17" s="86"/>
      <c r="C17" s="87"/>
      <c r="D17" s="92">
        <f t="shared" ref="D17:E17" si="1">SUM(D7:D14)</f>
        <v>47</v>
      </c>
      <c r="E17" s="92">
        <f t="shared" si="1"/>
        <v>232</v>
      </c>
      <c r="F17" s="95"/>
      <c r="G17" s="95"/>
      <c r="H17" s="97"/>
    </row>
    <row r="19">
      <c r="A19" s="100" t="s">
        <v>144</v>
      </c>
      <c r="B19" s="10"/>
      <c r="C19" s="10"/>
      <c r="D19" s="10"/>
      <c r="E19" s="10"/>
      <c r="F19" s="10"/>
      <c r="G19" s="10"/>
      <c r="H19" s="11"/>
    </row>
    <row r="21">
      <c r="A21" s="100" t="s">
        <v>145</v>
      </c>
      <c r="B21" s="10"/>
      <c r="C21" s="11"/>
      <c r="E21" s="100" t="s">
        <v>120</v>
      </c>
      <c r="F21" s="10"/>
      <c r="G21" s="11"/>
    </row>
    <row r="22">
      <c r="A22" s="102" t="s">
        <v>121</v>
      </c>
      <c r="B22" s="102" t="s">
        <v>122</v>
      </c>
      <c r="C22" s="103" t="s">
        <v>123</v>
      </c>
      <c r="E22" s="102" t="s">
        <v>121</v>
      </c>
      <c r="F22" s="102" t="s">
        <v>122</v>
      </c>
      <c r="G22" s="103" t="s">
        <v>123</v>
      </c>
    </row>
    <row r="23">
      <c r="A23" s="116">
        <v>46300.0</v>
      </c>
      <c r="B23" s="105">
        <v>47.0</v>
      </c>
      <c r="C23" s="106">
        <v>0.0</v>
      </c>
      <c r="E23" s="116">
        <v>46300.0</v>
      </c>
      <c r="F23" s="106">
        <v>47.0</v>
      </c>
      <c r="G23" s="106">
        <v>0.0</v>
      </c>
    </row>
    <row r="24">
      <c r="A24" s="116">
        <v>46301.0</v>
      </c>
      <c r="B24" s="105">
        <f t="shared" ref="B24:B49" si="2">B23-(47/26)</f>
        <v>45.19230769</v>
      </c>
      <c r="C24" s="105">
        <f t="shared" ref="C24:C49" si="3">$B$23-B24</f>
        <v>1.807692308</v>
      </c>
      <c r="E24" s="116">
        <v>46301.0</v>
      </c>
      <c r="F24" s="106">
        <v>47.0</v>
      </c>
      <c r="G24" s="106">
        <v>0.0</v>
      </c>
    </row>
    <row r="25">
      <c r="A25" s="116">
        <v>46302.0</v>
      </c>
      <c r="B25" s="105">
        <f t="shared" si="2"/>
        <v>43.38461538</v>
      </c>
      <c r="C25" s="105">
        <f t="shared" si="3"/>
        <v>3.615384615</v>
      </c>
      <c r="E25" s="116">
        <v>46302.0</v>
      </c>
      <c r="F25" s="106">
        <v>47.0</v>
      </c>
      <c r="G25" s="106">
        <v>0.0</v>
      </c>
    </row>
    <row r="26">
      <c r="A26" s="116">
        <v>46303.0</v>
      </c>
      <c r="B26" s="105">
        <f t="shared" si="2"/>
        <v>41.57692308</v>
      </c>
      <c r="C26" s="105">
        <f t="shared" si="3"/>
        <v>5.423076923</v>
      </c>
      <c r="E26" s="116">
        <v>46303.0</v>
      </c>
      <c r="F26" s="106">
        <v>47.0</v>
      </c>
      <c r="G26" s="106">
        <v>0.0</v>
      </c>
    </row>
    <row r="27">
      <c r="A27" s="116">
        <v>46304.0</v>
      </c>
      <c r="B27" s="105">
        <f t="shared" si="2"/>
        <v>39.76923077</v>
      </c>
      <c r="C27" s="105">
        <f t="shared" si="3"/>
        <v>7.230769231</v>
      </c>
      <c r="E27" s="116">
        <v>46304.0</v>
      </c>
      <c r="F27" s="106">
        <v>47.0</v>
      </c>
      <c r="G27" s="106">
        <v>0.0</v>
      </c>
    </row>
    <row r="28">
      <c r="A28" s="116">
        <v>46305.0</v>
      </c>
      <c r="B28" s="105">
        <f t="shared" si="2"/>
        <v>37.96153846</v>
      </c>
      <c r="C28" s="105">
        <f t="shared" si="3"/>
        <v>9.038461538</v>
      </c>
      <c r="E28" s="116">
        <v>46305.0</v>
      </c>
      <c r="F28" s="106">
        <v>47.0</v>
      </c>
      <c r="G28" s="106">
        <v>0.0</v>
      </c>
    </row>
    <row r="29">
      <c r="A29" s="116">
        <v>46306.0</v>
      </c>
      <c r="B29" s="105">
        <f t="shared" si="2"/>
        <v>36.15384615</v>
      </c>
      <c r="C29" s="105">
        <f t="shared" si="3"/>
        <v>10.84615385</v>
      </c>
      <c r="E29" s="116">
        <v>46306.0</v>
      </c>
      <c r="F29" s="106">
        <v>47.0</v>
      </c>
      <c r="G29" s="106">
        <v>0.0</v>
      </c>
    </row>
    <row r="30">
      <c r="A30" s="116">
        <v>46307.0</v>
      </c>
      <c r="B30" s="105">
        <f t="shared" si="2"/>
        <v>34.34615385</v>
      </c>
      <c r="C30" s="105">
        <f t="shared" si="3"/>
        <v>12.65384615</v>
      </c>
      <c r="E30" s="116">
        <v>46307.0</v>
      </c>
      <c r="F30" s="106">
        <v>47.0</v>
      </c>
      <c r="G30" s="106">
        <v>0.0</v>
      </c>
    </row>
    <row r="31">
      <c r="A31" s="116">
        <v>46308.0</v>
      </c>
      <c r="B31" s="105">
        <f t="shared" si="2"/>
        <v>32.53846154</v>
      </c>
      <c r="C31" s="105">
        <f t="shared" si="3"/>
        <v>14.46153846</v>
      </c>
      <c r="E31" s="116">
        <v>46308.0</v>
      </c>
      <c r="F31" s="106">
        <v>47.0</v>
      </c>
      <c r="G31" s="106">
        <v>0.0</v>
      </c>
    </row>
    <row r="32">
      <c r="A32" s="116">
        <v>46309.0</v>
      </c>
      <c r="B32" s="105">
        <f t="shared" si="2"/>
        <v>30.73076923</v>
      </c>
      <c r="C32" s="105">
        <f t="shared" si="3"/>
        <v>16.26923077</v>
      </c>
      <c r="E32" s="116">
        <v>46309.0</v>
      </c>
      <c r="F32" s="106"/>
      <c r="G32" s="106"/>
    </row>
    <row r="33">
      <c r="A33" s="116">
        <v>46310.0</v>
      </c>
      <c r="B33" s="105">
        <f t="shared" si="2"/>
        <v>28.92307692</v>
      </c>
      <c r="C33" s="105">
        <f t="shared" si="3"/>
        <v>18.07692308</v>
      </c>
      <c r="E33" s="116">
        <v>46310.0</v>
      </c>
      <c r="F33" s="106"/>
      <c r="G33" s="106"/>
    </row>
    <row r="34">
      <c r="A34" s="116">
        <v>46311.0</v>
      </c>
      <c r="B34" s="105">
        <f t="shared" si="2"/>
        <v>27.11538462</v>
      </c>
      <c r="C34" s="105">
        <f t="shared" si="3"/>
        <v>19.88461538</v>
      </c>
      <c r="E34" s="116">
        <v>46311.0</v>
      </c>
      <c r="F34" s="106"/>
      <c r="G34" s="106"/>
    </row>
    <row r="35">
      <c r="A35" s="116">
        <v>46312.0</v>
      </c>
      <c r="B35" s="105">
        <f t="shared" si="2"/>
        <v>25.30769231</v>
      </c>
      <c r="C35" s="105">
        <f t="shared" si="3"/>
        <v>21.69230769</v>
      </c>
      <c r="E35" s="116">
        <v>46312.0</v>
      </c>
      <c r="F35" s="106"/>
      <c r="G35" s="106"/>
    </row>
    <row r="36">
      <c r="A36" s="116">
        <v>46313.0</v>
      </c>
      <c r="B36" s="105">
        <f t="shared" si="2"/>
        <v>23.5</v>
      </c>
      <c r="C36" s="105">
        <f t="shared" si="3"/>
        <v>23.5</v>
      </c>
      <c r="E36" s="116">
        <v>46313.0</v>
      </c>
      <c r="F36" s="106"/>
      <c r="G36" s="106"/>
    </row>
    <row r="37">
      <c r="A37" s="116">
        <v>46314.0</v>
      </c>
      <c r="B37" s="105">
        <f t="shared" si="2"/>
        <v>21.69230769</v>
      </c>
      <c r="C37" s="105">
        <f t="shared" si="3"/>
        <v>25.30769231</v>
      </c>
      <c r="E37" s="116">
        <v>46314.0</v>
      </c>
      <c r="F37" s="106"/>
      <c r="G37" s="106"/>
    </row>
    <row r="38">
      <c r="A38" s="116">
        <v>46315.0</v>
      </c>
      <c r="B38" s="105">
        <f t="shared" si="2"/>
        <v>19.88461538</v>
      </c>
      <c r="C38" s="105">
        <f t="shared" si="3"/>
        <v>27.11538462</v>
      </c>
      <c r="E38" s="116">
        <v>46315.0</v>
      </c>
      <c r="F38" s="106"/>
      <c r="G38" s="106"/>
    </row>
    <row r="39">
      <c r="A39" s="116">
        <v>46316.0</v>
      </c>
      <c r="B39" s="105">
        <f t="shared" si="2"/>
        <v>18.07692308</v>
      </c>
      <c r="C39" s="105">
        <f t="shared" si="3"/>
        <v>28.92307692</v>
      </c>
      <c r="E39" s="116">
        <v>46316.0</v>
      </c>
      <c r="F39" s="106"/>
      <c r="G39" s="106"/>
    </row>
    <row r="40">
      <c r="A40" s="116">
        <v>46317.0</v>
      </c>
      <c r="B40" s="105">
        <f t="shared" si="2"/>
        <v>16.26923077</v>
      </c>
      <c r="C40" s="105">
        <f t="shared" si="3"/>
        <v>30.73076923</v>
      </c>
      <c r="E40" s="116">
        <v>46317.0</v>
      </c>
      <c r="F40" s="106"/>
      <c r="G40" s="106"/>
    </row>
    <row r="41">
      <c r="A41" s="116">
        <v>46318.0</v>
      </c>
      <c r="B41" s="105">
        <f t="shared" si="2"/>
        <v>14.46153846</v>
      </c>
      <c r="C41" s="105">
        <f t="shared" si="3"/>
        <v>32.53846154</v>
      </c>
      <c r="E41" s="116">
        <v>46318.0</v>
      </c>
      <c r="F41" s="106"/>
      <c r="G41" s="106"/>
    </row>
    <row r="42">
      <c r="A42" s="116">
        <v>46319.0</v>
      </c>
      <c r="B42" s="105">
        <f t="shared" si="2"/>
        <v>12.65384615</v>
      </c>
      <c r="C42" s="105">
        <f t="shared" si="3"/>
        <v>34.34615385</v>
      </c>
      <c r="E42" s="116">
        <v>46319.0</v>
      </c>
      <c r="F42" s="106"/>
      <c r="G42" s="106"/>
    </row>
    <row r="43">
      <c r="A43" s="116">
        <v>46320.0</v>
      </c>
      <c r="B43" s="105">
        <f t="shared" si="2"/>
        <v>10.84615385</v>
      </c>
      <c r="C43" s="105">
        <f t="shared" si="3"/>
        <v>36.15384615</v>
      </c>
      <c r="E43" s="116">
        <v>46320.0</v>
      </c>
      <c r="F43" s="106"/>
      <c r="G43" s="106"/>
    </row>
    <row r="44">
      <c r="A44" s="116">
        <v>46321.0</v>
      </c>
      <c r="B44" s="105">
        <f t="shared" si="2"/>
        <v>9.038461538</v>
      </c>
      <c r="C44" s="105">
        <f t="shared" si="3"/>
        <v>37.96153846</v>
      </c>
      <c r="E44" s="116">
        <v>46321.0</v>
      </c>
      <c r="F44" s="106"/>
      <c r="G44" s="106"/>
    </row>
    <row r="45">
      <c r="A45" s="116">
        <v>46322.0</v>
      </c>
      <c r="B45" s="105">
        <f t="shared" si="2"/>
        <v>7.230769231</v>
      </c>
      <c r="C45" s="105">
        <f t="shared" si="3"/>
        <v>39.76923077</v>
      </c>
      <c r="E45" s="116">
        <v>46322.0</v>
      </c>
      <c r="F45" s="106"/>
      <c r="G45" s="106"/>
    </row>
    <row r="46">
      <c r="A46" s="116">
        <v>46323.0</v>
      </c>
      <c r="B46" s="105">
        <f t="shared" si="2"/>
        <v>5.423076923</v>
      </c>
      <c r="C46" s="105">
        <f t="shared" si="3"/>
        <v>41.57692308</v>
      </c>
      <c r="E46" s="116">
        <v>46323.0</v>
      </c>
      <c r="F46" s="106"/>
      <c r="G46" s="106"/>
    </row>
    <row r="47">
      <c r="A47" s="116">
        <v>46324.0</v>
      </c>
      <c r="B47" s="105">
        <f t="shared" si="2"/>
        <v>3.615384615</v>
      </c>
      <c r="C47" s="105">
        <f t="shared" si="3"/>
        <v>43.38461538</v>
      </c>
      <c r="E47" s="116">
        <v>46324.0</v>
      </c>
      <c r="F47" s="106"/>
      <c r="G47" s="106"/>
    </row>
    <row r="48">
      <c r="A48" s="116">
        <v>46325.0</v>
      </c>
      <c r="B48" s="105">
        <f t="shared" si="2"/>
        <v>1.807692308</v>
      </c>
      <c r="C48" s="105">
        <f t="shared" si="3"/>
        <v>45.19230769</v>
      </c>
      <c r="E48" s="116">
        <v>46325.0</v>
      </c>
      <c r="F48" s="106"/>
      <c r="G48" s="106"/>
    </row>
    <row r="49">
      <c r="A49" s="116">
        <v>46326.0</v>
      </c>
      <c r="B49" s="105">
        <f t="shared" si="2"/>
        <v>0</v>
      </c>
      <c r="C49" s="105">
        <f t="shared" si="3"/>
        <v>47</v>
      </c>
      <c r="E49" s="116">
        <v>46326.0</v>
      </c>
      <c r="F49" s="106"/>
      <c r="G49" s="106"/>
    </row>
    <row r="50">
      <c r="A50" s="111"/>
      <c r="B50" s="42"/>
      <c r="C50" s="42"/>
      <c r="D50" s="42"/>
      <c r="E50" s="42"/>
      <c r="F50" s="42"/>
      <c r="G50" s="43"/>
    </row>
    <row r="51">
      <c r="A51" s="112"/>
      <c r="G51" s="6"/>
    </row>
    <row r="52">
      <c r="A52" s="112"/>
      <c r="G52" s="6"/>
    </row>
    <row r="53">
      <c r="A53" s="113"/>
      <c r="B53" s="39"/>
      <c r="C53" s="39"/>
      <c r="D53" s="39"/>
      <c r="E53" s="39"/>
      <c r="F53" s="39"/>
      <c r="G53" s="37"/>
    </row>
  </sheetData>
  <mergeCells count="4">
    <mergeCell ref="A19:H19"/>
    <mergeCell ref="A21:C21"/>
    <mergeCell ref="E21:G21"/>
    <mergeCell ref="A50:G53"/>
  </mergeCells>
  <dataValidations>
    <dataValidation type="custom" allowBlank="1" showDropDown="1" sqref="D7:E17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